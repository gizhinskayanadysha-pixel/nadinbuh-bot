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ИИ помощник\Гайд по Д и Р\"/>
    </mc:Choice>
  </mc:AlternateContent>
  <bookViews>
    <workbookView xWindow="0" yWindow="0" windowWidth="28800" windowHeight="12330"/>
  </bookViews>
  <sheets>
    <sheet name="Доходы" sheetId="1" r:id="rId1"/>
    <sheet name="Расходы" sheetId="2" r:id="rId2"/>
    <sheet name="Сводная" sheetId="3" r:id="rId3"/>
    <sheet name="Справочник — Документы" sheetId="4" r:id="rId4"/>
    <sheet name="Разрешённые расходы УСН" sheetId="5" r:id="rId5"/>
    <sheet name="Запрещённые расходы" sheetId="6" r:id="rId6"/>
  </sheets>
  <calcPr calcId="162913"/>
  <fileRecoveryPr repairLoad="1"/>
</workbook>
</file>

<file path=xl/calcChain.xml><?xml version="1.0" encoding="utf-8"?>
<calcChain xmlns="http://schemas.openxmlformats.org/spreadsheetml/2006/main">
  <c r="B20" i="3" l="1"/>
  <c r="B16" i="3"/>
  <c r="F54" i="2"/>
  <c r="B6" i="3" s="1"/>
  <c r="E54" i="1"/>
  <c r="B5" i="3" s="1"/>
  <c r="B14" i="3" l="1"/>
  <c r="B19" i="3"/>
  <c r="B10" i="3"/>
  <c r="B11" i="3" s="1"/>
  <c r="B15" i="3" s="1"/>
  <c r="B7" i="3"/>
</calcChain>
</file>

<file path=xl/sharedStrings.xml><?xml version="1.0" encoding="utf-8"?>
<sst xmlns="http://schemas.openxmlformats.org/spreadsheetml/2006/main" count="286" uniqueCount="251">
  <si>
    <t>ДОХОДЫ ИП — Учётный журнал 2026</t>
  </si>
  <si>
    <t>Гижинская Надежда  |  +7 921 593-51-16  |  Telegram: @Nadezhda_Gizh  |  gizhinskayanadysha@gmail.com</t>
  </si>
  <si>
    <t>Дата</t>
  </si>
  <si>
    <t>Описание дохода</t>
  </si>
  <si>
    <t>Контрагент</t>
  </si>
  <si>
    <t>Вид дохода</t>
  </si>
  <si>
    <t>Сумма (руб.)</t>
  </si>
  <si>
    <t>Примечание</t>
  </si>
  <si>
    <t>ИТОГО:</t>
  </si>
  <si>
    <t>РАСХОДЫ ИП — Учётный журнал 2026</t>
  </si>
  <si>
    <t>Описание расхода</t>
  </si>
  <si>
    <t>Категория</t>
  </si>
  <si>
    <t>Документ</t>
  </si>
  <si>
    <t>УСН д−р ✓/✗</t>
  </si>
  <si>
    <t>СВОДНАЯ ТАБЛИЦА — ФИНАНСЫ ИП 2026</t>
  </si>
  <si>
    <t>ПОКАЗАТЕЛЬ</t>
  </si>
  <si>
    <t>ЗНАЧЕНИЕ</t>
  </si>
  <si>
    <t>Итого доходов за период</t>
  </si>
  <si>
    <t>Итого расходов за период</t>
  </si>
  <si>
    <t>Прибыль (Доходы − Расходы)</t>
  </si>
  <si>
    <t>Фикс. взносы ИП 2026</t>
  </si>
  <si>
    <t>57 390 ₽</t>
  </si>
  <si>
    <t>срок: 28.12.2026</t>
  </si>
  <si>
    <t>1% с дохода свыше 300 000 руб.</t>
  </si>
  <si>
    <t>срок: 01.07.2027</t>
  </si>
  <si>
    <t>Итого взносов ИП за себя</t>
  </si>
  <si>
    <t>НАЛОГОВАЯ НАГРУЗКА (УСН 6%)</t>
  </si>
  <si>
    <t>Налог до вычета (доход × 6%)</t>
  </si>
  <si>
    <t>Вычет взносов (без сотрудников)</t>
  </si>
  <si>
    <t>зачесть в полном объёме</t>
  </si>
  <si>
    <t>Налог к уплате</t>
  </si>
  <si>
    <t>НАЛОГОВАЯ НАГРУЗКА (УСН 15%)</t>
  </si>
  <si>
    <t>Налоговая база (доход − расход)</t>
  </si>
  <si>
    <t>Налог (база × 15%)</t>
  </si>
  <si>
    <t>минимальный налог 1% от дохода</t>
  </si>
  <si>
    <t>СПРАВОЧНИК: Документы по расходам (что нужно иметь)</t>
  </si>
  <si>
    <t>Вид расхода</t>
  </si>
  <si>
    <t>Обязательные документы</t>
  </si>
  <si>
    <t>Комментарий</t>
  </si>
  <si>
    <t>Аренда</t>
  </si>
  <si>
    <t>Договор аренды, ежемесячный акт, платёжное поручение</t>
  </si>
  <si>
    <t>Акт — обязателен, даже если в договоре написано «акты не составляются»</t>
  </si>
  <si>
    <t>Зарплата</t>
  </si>
  <si>
    <t>Трудовой договор, расчётный лист, платёжная ведомость / реестр</t>
  </si>
  <si>
    <t>Премии только из положения о премировании</t>
  </si>
  <si>
    <t>Страховые взносы за сотрудников</t>
  </si>
  <si>
    <t>РСВ, платёжные поручения через ЕНС</t>
  </si>
  <si>
    <t>Включаются в расходы в периоде уплаты (УСН)</t>
  </si>
  <si>
    <t>Фикс. взносы ИП за себя</t>
  </si>
  <si>
    <t>Выписка ЕНС или платёжное поручение</t>
  </si>
  <si>
    <t>При УСН д−р — в расход; при УСН д — вычет из налога</t>
  </si>
  <si>
    <t>Товары для перепродажи</t>
  </si>
  <si>
    <t>Накладная / УПД, платёжка поставщику</t>
  </si>
  <si>
    <t>Расход признаётся только после реализации товара (УСН)</t>
  </si>
  <si>
    <t>ГСМ (топливо)</t>
  </si>
  <si>
    <t>Путевой лист, кассовый чек с АЗС</t>
  </si>
  <si>
    <t>Путевой лист обязателен! Маршрут А→Б, одометр, норма расхода</t>
  </si>
  <si>
    <t>Услуги</t>
  </si>
  <si>
    <t>Договор + Акт выполненных работ / оказанных услуг</t>
  </si>
  <si>
    <t>Акт без договора не принимается налоговой</t>
  </si>
  <si>
    <t>Командировка</t>
  </si>
  <si>
    <t>Приказ, билеты (туда/обратно), гостиница, авансовый отчёт</t>
  </si>
  <si>
    <t>Суточные: 700 р./день (РФ) без НДФЛ; сверх — облагаются</t>
  </si>
  <si>
    <t>Реклама (стандартная)</t>
  </si>
  <si>
    <t>Договор, акт, отчёт об исполнении (если интернет — скрин)</t>
  </si>
  <si>
    <t>Интернет-реклама: не нормируется</t>
  </si>
  <si>
    <t>Представительские (с 2026 — в УСН!)</t>
  </si>
  <si>
    <t>Приказ о мероприятии, смета, акт, отчёт об участниках</t>
  </si>
  <si>
    <t>Лимит: до 4% от ФОТ за период (ст. 264 п.2 НК РФ)</t>
  </si>
  <si>
    <t>Банковские комиссии</t>
  </si>
  <si>
    <t>Выписка банка</t>
  </si>
  <si>
    <t>Принимаются автоматически по выписке</t>
  </si>
  <si>
    <t>Оборудование (ОС &gt;100 000 руб.)</t>
  </si>
  <si>
    <t>Договор, УПД/накладная, акт ввода в эксплуатацию (ОС-1)</t>
  </si>
  <si>
    <t>УСН: списывается долями в год приобретения; по равным частям</t>
  </si>
  <si>
    <t>Программное обеспечение</t>
  </si>
  <si>
    <t>Лицензионный договор, акт передачи прав</t>
  </si>
  <si>
    <t>Подписка на ПО — в расход в периоде оплаты (УСН)</t>
  </si>
  <si>
    <t>Лизинг</t>
  </si>
  <si>
    <t>Договор лизинга, акт приёма-передачи, счёт на лизинговый платёж</t>
  </si>
  <si>
    <t>Лизинговые платежи — в расход; выкупная цена — через ОС</t>
  </si>
  <si>
    <t>Страхование</t>
  </si>
  <si>
    <t>Договор/полис страхования, платёжный документ</t>
  </si>
  <si>
    <t>Принимаются виды из ст. 263 НК РФ (ОСАГО, КАСКО, имущество)</t>
  </si>
  <si>
    <t>Проценты по кредиту</t>
  </si>
  <si>
    <t>Кредитный договор, выписка банка</t>
  </si>
  <si>
    <t>По рыночной ставке; сверхнормативные — не принимаются</t>
  </si>
  <si>
    <t>Обучение персонала</t>
  </si>
  <si>
    <t>Договор с лицензированной организацией, акт, удостоверение о квалификации</t>
  </si>
  <si>
    <t>Организация должна иметь лицензию на образовательную деятельность</t>
  </si>
  <si>
    <t>Связь и интернет</t>
  </si>
  <si>
    <t>Договор с оператором, счёт, акт</t>
  </si>
  <si>
    <t>Обоснуйте деловое использование — могут запросить при проверке</t>
  </si>
  <si>
    <t>Потери при хранении/перевозке</t>
  </si>
  <si>
    <t>Акт инвентаризации, акт о потерях</t>
  </si>
  <si>
    <t>Только в пределах норм естественной убыли</t>
  </si>
  <si>
    <t>РАЗРЕШЁННЫЕ РАСХОДЫ при УСН «Доходы−Расходы» с 2026 года</t>
  </si>
  <si>
    <t>Перечень ОТКРЫТЫЙ с 01.01.2026 (пп. 45 п.1 ст. 346.16 НК РФ) — принимаются все расходы гл. 25 НК, кроме ст. 270 НК РФ</t>
  </si>
  <si>
    <t>Статья НК РФ (гл. 25)</t>
  </si>
  <si>
    <t>Лимит / условие</t>
  </si>
  <si>
    <t>Аренда имущества (офис, склад, оборудование, транспорт)</t>
  </si>
  <si>
    <t>ст. 264 пп.10</t>
  </si>
  <si>
    <t>Без лимита</t>
  </si>
  <si>
    <t>Договор, ежемесячный акт, платёжное поручение</t>
  </si>
  <si>
    <t>Коммунальные услуги в арендуемом помещении</t>
  </si>
  <si>
    <t>ст. 264</t>
  </si>
  <si>
    <t>Счёт / акт от арендодателя или ресурсоснабжающей орг.</t>
  </si>
  <si>
    <t>Оплата труда: оклад, надбавки, премии</t>
  </si>
  <si>
    <t>ст. 255</t>
  </si>
  <si>
    <t>Без лимита (премии — по трудовому договору/положению)</t>
  </si>
  <si>
    <t>Трудовой договор, расчётный лист, платёжная ведомость</t>
  </si>
  <si>
    <t>Отпускные и компенсация за неиспользованный отпуск</t>
  </si>
  <si>
    <t>Приказ о предоставлении отпуска, расчётный лист</t>
  </si>
  <si>
    <t>Первые 3 дня больничного (за счёт работодателя)</t>
  </si>
  <si>
    <t>Листок нетрудоспособности (электронный), расчёт</t>
  </si>
  <si>
    <t>Страховые взносы за сотрудников (ОПС, ОМС, ВНиМ, НС и ПЗ)</t>
  </si>
  <si>
    <t>ст. 264 пп.1</t>
  </si>
  <si>
    <t>Без лимита (по тарифам НК РФ)</t>
  </si>
  <si>
    <t>Фиксированные взносы ИП за себя</t>
  </si>
  <si>
    <t>ст. 346.16 пп.7</t>
  </si>
  <si>
    <t>Без лимита (включаются в расходы)</t>
  </si>
  <si>
    <t>ГСМ и транспортные расходы</t>
  </si>
  <si>
    <t>ст. 264 пп.11</t>
  </si>
  <si>
    <t>По нормам Минтранса (Распоряжение № АМ-23-р)</t>
  </si>
  <si>
    <t>Путевой лист, кассовый чек АЗС</t>
  </si>
  <si>
    <t>Ремонт и техобслуживание ОС</t>
  </si>
  <si>
    <t>ст. 260</t>
  </si>
  <si>
    <t>Договор, акт, заказ-наряд</t>
  </si>
  <si>
    <t>Командировочные расходы</t>
  </si>
  <si>
    <t>ст. 264 пп.12</t>
  </si>
  <si>
    <t>Суточные РФ: 700 р./день без НДФЛ; загранком.: 2 500 р.</t>
  </si>
  <si>
    <t>Приказ, билеты, гостиница, авансовый отчёт</t>
  </si>
  <si>
    <t>Реклама в СМИ, интернете, наружная, в местах продаж</t>
  </si>
  <si>
    <t>ст. 264 пп.28</t>
  </si>
  <si>
    <t>Договор с площадкой, акт, отчёт об исполнении</t>
  </si>
  <si>
    <t>Реклама с призами, конкурсами, лотереями</t>
  </si>
  <si>
    <t>ст. 264 п.4</t>
  </si>
  <si>
    <t>До 1% от выручки за период</t>
  </si>
  <si>
    <t>Договор, акт, документы о призах</t>
  </si>
  <si>
    <t>Представительские расходы (НОВОЕ для УСН с 2026!)</t>
  </si>
  <si>
    <t>ст. 264 п.2</t>
  </si>
  <si>
    <t>До 4% от ФОТ за период</t>
  </si>
  <si>
    <t>Приказ о мероприятии, список участников, смета, акт, чеки</t>
  </si>
  <si>
    <t>Материальные расходы (сырьё, материалы, упаковка)</t>
  </si>
  <si>
    <t>ст. 254</t>
  </si>
  <si>
    <t>Накладная / УПД, платёжный документ</t>
  </si>
  <si>
    <t>ст. 346.16 пп.23</t>
  </si>
  <si>
    <t>Только после реализации покупателю</t>
  </si>
  <si>
    <t>Накладная / УПД, документ об оплате поставщику</t>
  </si>
  <si>
    <t>Страхование имущества (ОСАГО, КАСКО, имущество)</t>
  </si>
  <si>
    <t>ст. 263</t>
  </si>
  <si>
    <t>По видам из ст. 263 НК РФ</t>
  </si>
  <si>
    <t>Договор/полис, платёжный документ</t>
  </si>
  <si>
    <t>Банковские расходы (комиссии, РКО)</t>
  </si>
  <si>
    <t>ст. 265 пп.15</t>
  </si>
  <si>
    <t>Банковская выписка</t>
  </si>
  <si>
    <t>Проценты по кредитам и займам (бизнес)</t>
  </si>
  <si>
    <t>ст. 265 пп.2</t>
  </si>
  <si>
    <t>По рыночной ставке (ст. 269 НК РФ)</t>
  </si>
  <si>
    <t>Кредитный договор, банковская выписка</t>
  </si>
  <si>
    <t>Лизинговые платежи</t>
  </si>
  <si>
    <t>Без лимита (кроме выкупной стоимости)</t>
  </si>
  <si>
    <t>Договор лизинга, акт, счёт</t>
  </si>
  <si>
    <t>ПО, лицензии, подписки на базы данных</t>
  </si>
  <si>
    <t>ст. 264 пп.26</t>
  </si>
  <si>
    <t>Лицензионный договор / акт передачи прав</t>
  </si>
  <si>
    <t>Связь и интернет (деловое использование)</t>
  </si>
  <si>
    <t>ст. 264 пп.25</t>
  </si>
  <si>
    <t>Договор, счёт, акт</t>
  </si>
  <si>
    <t>Юридические, аудиторские, консультационные услуги</t>
  </si>
  <si>
    <t>ст. 264 пп.14–15</t>
  </si>
  <si>
    <t>Договор + акт выполненных работ</t>
  </si>
  <si>
    <t>Бухгалтерские услуги / аутсорсинг</t>
  </si>
  <si>
    <t>ст. 264 пп.17</t>
  </si>
  <si>
    <t>Договор, акт</t>
  </si>
  <si>
    <t>Обучение и повышение квалификации персонала</t>
  </si>
  <si>
    <t>ст. 264 пп.23</t>
  </si>
  <si>
    <t>Договор с лицензированной организацией, акт, удостоверение</t>
  </si>
  <si>
    <t>Амортизация ОС (&gt;100 000 руб.)</t>
  </si>
  <si>
    <t>ст. 256–259, 346.16</t>
  </si>
  <si>
    <t>Равными долями в год ввода в эксплуатацию (УСН)</t>
  </si>
  <si>
    <t>Договор, УПД, акт ввода в эксплуатацию (ОС-1)</t>
  </si>
  <si>
    <t>НМА: патенты, товарные знаки</t>
  </si>
  <si>
    <t>ст. 257–258</t>
  </si>
  <si>
    <t>Через амортизацию</t>
  </si>
  <si>
    <t>Договор, акт, свидетельство о регистрации</t>
  </si>
  <si>
    <t>Достройка, модернизация, реконструкция НМА (НОВОЕ 2026)</t>
  </si>
  <si>
    <t>ст. 346.16 пп.44</t>
  </si>
  <si>
    <t>Акт выполненных работ, договор</t>
  </si>
  <si>
    <t>Потери в пределах норм естественной убыли</t>
  </si>
  <si>
    <t>ст. 254 пп.2</t>
  </si>
  <si>
    <t>По отраслевым нормам</t>
  </si>
  <si>
    <t>Нотариальные расходы (в пределах тарифов)</t>
  </si>
  <si>
    <t>ст. 264 пп.16</t>
  </si>
  <si>
    <t>В пределах нотариальных тарифов</t>
  </si>
  <si>
    <t>Квитанция нотариуса, акт</t>
  </si>
  <si>
    <t>НИОКР (научные исследования и разработки)</t>
  </si>
  <si>
    <t>ст. 262</t>
  </si>
  <si>
    <t>Без лимита (при выполнении условий)</t>
  </si>
  <si>
    <t>Договор, акты этапов, отчёт о выполнении</t>
  </si>
  <si>
    <t>ЗАПРЕЩЁННЫЕ РАСХОДЫ — нельзя учесть ни при каком режиме (ст. 270 НК РФ)</t>
  </si>
  <si>
    <t>Если налоговая найдёт эти расходы в учёте — доначислит налог + штраф 20% + пени</t>
  </si>
  <si>
    <t>Запрещённый расход</t>
  </si>
  <si>
    <t>Статья 270 НК РФ</t>
  </si>
  <si>
    <t>Почему нельзя / что делать вместо</t>
  </si>
  <si>
    <t>Дивиденды и иное распределение прибыли ИП / учредителям</t>
  </si>
  <si>
    <t>п. 1</t>
  </si>
  <si>
    <t>Это изъятие прибыли после налогообложения, не расход</t>
  </si>
  <si>
    <t>Штрафы, пени, санкции в бюджет и СФР</t>
  </si>
  <si>
    <t>п. 2</t>
  </si>
  <si>
    <t>Наказание не снижает налоговую базу. Уплатил — потерял</t>
  </si>
  <si>
    <t>Взносы в уставный капитал / паевые взносы</t>
  </si>
  <si>
    <t>п. 3</t>
  </si>
  <si>
    <t>Инвестиция, а не расход на деятельность</t>
  </si>
  <si>
    <t>Стоимость безвозмездно переданного имущества и расходы на его передачу</t>
  </si>
  <si>
    <t>п. 16</t>
  </si>
  <si>
    <t>Подарок партнёру не является расходом</t>
  </si>
  <si>
    <t>Материальная помощь сотрудникам (кроме при рождении ребёнка до 50 000 руб.)</t>
  </si>
  <si>
    <t>п. 23</t>
  </si>
  <si>
    <t>Оформить как премию (с НДФЛ и взносами) или не принимать</t>
  </si>
  <si>
    <t>Надбавки к пенсиям, единовременные пособия при выходе на пенсию</t>
  </si>
  <si>
    <t>п. 25</t>
  </si>
  <si>
    <t>Не производственный расход</t>
  </si>
  <si>
    <t>Оплата путёвок на отдых, санаторно-курортное лечение сотрудников</t>
  </si>
  <si>
    <t>п. 29</t>
  </si>
  <si>
    <t>Личные расходы сотрудника</t>
  </si>
  <si>
    <t>Личные расходы ИП (продукты, личный транспорт, одежда, жильё)</t>
  </si>
  <si>
    <t>ст. 252</t>
  </si>
  <si>
    <t>Нет связи с предпринимательской деятельностью</t>
  </si>
  <si>
    <t>Уплата налогов: УСН, ПСН, НДС (сам налог)</t>
  </si>
  <si>
    <t>п. 4</t>
  </si>
  <si>
    <t>Уплата налога не является расходом для его расчёта</t>
  </si>
  <si>
    <t>Проценты по займам сверх нормы (ст. 269 НК РФ)</t>
  </si>
  <si>
    <t>п. 8</t>
  </si>
  <si>
    <t>Только в пределах рыночной ставки ЦБ × коэффициент</t>
  </si>
  <si>
    <t>Добровольное страхование сверх перечня ст. 263 НК РФ</t>
  </si>
  <si>
    <t>п. 6</t>
  </si>
  <si>
    <t>Принимаются только виды страхования из ст. 263 НК РФ</t>
  </si>
  <si>
    <t>Расходы на приобретение ОС &gt;100 000 руб. единовременно</t>
  </si>
  <si>
    <t>п. 5</t>
  </si>
  <si>
    <t>Нельзя списать сразу — только через амортизацию (доли)</t>
  </si>
  <si>
    <t>Вознаграждения руководству без трудового договора</t>
  </si>
  <si>
    <t>Без трудового договора нет обоснования расхода</t>
  </si>
  <si>
    <t>Расходы, не связанные с получением дохода</t>
  </si>
  <si>
    <t>Любой расход должен быть направлен на получение дохода</t>
  </si>
  <si>
    <t>Расходы по деятельности, не относящейся к бизнесу ИП</t>
  </si>
  <si>
    <t>Расход должен быть в рамках зарегистрированной деятельности</t>
  </si>
  <si>
    <t>Подарки партнёрам без документального оформления</t>
  </si>
  <si>
    <t>Без документов — не расход. С документами — возможно представительские</t>
  </si>
  <si>
    <t>НДС к вычету, предъявленный поставщиком (при наличии права на вычет)</t>
  </si>
  <si>
    <t>При УСН НДС включается в стоимость, отдельно не принимается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</si>
</sst>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\₽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8"/>
      <color rgb="FF7D1713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10"/>
      <color rgb="FF000000"/>
      <name val="Calibri"/>
    </font>
    <font>
      <b/>
      <sz val="10"/>
      <color rgb="FF3C110F"/>
      <name val="Calibri"/>
    </font>
    <font>
      <b/>
      <sz val="9"/>
      <color rgb="FFFFFFFF"/>
      <name val="Calibri"/>
    </font>
    <font>
      <sz val="9"/>
      <color rgb="FF3C110F"/>
      <name val="Calibri"/>
    </font>
    <font>
      <b/>
      <sz val="9"/>
      <color rgb="FF3C110F"/>
      <name val="Calibri"/>
    </font>
    <font>
      <b/>
      <sz val="13"/>
      <color rgb="FFFFFFFF"/>
      <name val="Calibri"/>
    </font>
    <font>
      <sz val="8.5"/>
      <color rgb="FF000000"/>
      <name val="Calibri"/>
    </font>
    <font>
      <b/>
      <sz val="9"/>
      <color rgb="FF5F130F"/>
      <name val="Calibri"/>
    </font>
    <font>
      <b/>
      <sz val="8.5"/>
      <color rgb="FF000000"/>
      <name val="Calibri"/>
    </font>
    <font>
      <b/>
      <sz val="8.5"/>
      <color rgb="FF5F130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C110F"/>
      </patternFill>
    </fill>
    <fill>
      <patternFill patternType="solid">
        <fgColor rgb="FF7D1713"/>
      </patternFill>
    </fill>
    <fill>
      <patternFill patternType="solid">
        <fgColor rgb="FFFEFDF5"/>
      </patternFill>
    </fill>
    <fill>
      <patternFill patternType="solid">
        <fgColor rgb="FFFFFFFF"/>
      </patternFill>
    </fill>
    <fill>
      <patternFill patternType="solid">
        <fgColor rgb="FFF0E0CC"/>
      </patternFill>
    </fill>
    <fill>
      <patternFill patternType="solid">
        <fgColor rgb="FF5F130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left" vertical="center"/>
    </xf>
    <xf numFmtId="0" fontId="5" fillId="6" borderId="0" xfId="0" applyFont="1" applyFill="1" applyAlignment="1">
      <alignment horizontal="right"/>
    </xf>
    <xf numFmtId="165" fontId="6" fillId="6" borderId="0" xfId="0" applyNumberFormat="1" applyFont="1" applyFill="1"/>
    <xf numFmtId="0" fontId="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5" fontId="8" fillId="5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5" fontId="8" fillId="4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65" fontId="9" fillId="6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pane ySplit="3" topLeftCell="A4" activePane="bottomLeft" state="frozen"/>
      <selection pane="bottomLeft" activeCell="K24" sqref="K24"/>
    </sheetView>
  </sheetViews>
  <sheetFormatPr defaultRowHeight="15" x14ac:dyDescent="0.25"/>
  <cols>
    <col min="1" max="1" width="12" customWidth="1"/>
    <col min="2" max="2" width="35" customWidth="1"/>
    <col min="3" max="4" width="20" customWidth="1"/>
    <col min="5" max="5" width="15" customWidth="1"/>
    <col min="6" max="6" width="25" customWidth="1"/>
  </cols>
  <sheetData>
    <row r="1" spans="1:6" ht="30" customHeight="1" x14ac:dyDescent="0.25">
      <c r="A1" s="31" t="s">
        <v>0</v>
      </c>
      <c r="B1" s="30"/>
      <c r="C1" s="30"/>
      <c r="D1" s="30"/>
      <c r="E1" s="30"/>
      <c r="F1" s="30"/>
    </row>
    <row r="2" spans="1:6" ht="14.1" customHeight="1" x14ac:dyDescent="0.25">
      <c r="A2" s="29" t="s">
        <v>1</v>
      </c>
      <c r="B2" s="30"/>
      <c r="C2" s="30"/>
      <c r="D2" s="30"/>
      <c r="E2" s="30"/>
      <c r="F2" s="30"/>
    </row>
    <row r="3" spans="1:6" ht="20.100000000000001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5.95" customHeight="1" x14ac:dyDescent="0.25">
      <c r="A4" s="4"/>
      <c r="B4" s="5"/>
      <c r="C4" s="5"/>
      <c r="D4" s="5"/>
      <c r="E4" s="6"/>
      <c r="F4" s="5"/>
    </row>
    <row r="5" spans="1:6" ht="15.95" customHeight="1" x14ac:dyDescent="0.25">
      <c r="A5" s="7"/>
      <c r="B5" s="8"/>
      <c r="C5" s="8"/>
      <c r="D5" s="8"/>
      <c r="E5" s="9"/>
      <c r="F5" s="8"/>
    </row>
    <row r="6" spans="1:6" ht="15.95" customHeight="1" x14ac:dyDescent="0.25">
      <c r="A6" s="4"/>
      <c r="B6" s="5"/>
      <c r="C6" s="5"/>
      <c r="D6" s="5"/>
      <c r="E6" s="6"/>
      <c r="F6" s="5"/>
    </row>
    <row r="7" spans="1:6" ht="15.95" customHeight="1" x14ac:dyDescent="0.25">
      <c r="A7" s="7"/>
      <c r="B7" s="8"/>
      <c r="C7" s="8"/>
      <c r="D7" s="8"/>
      <c r="E7" s="9"/>
      <c r="F7" s="8"/>
    </row>
    <row r="8" spans="1:6" ht="15.95" customHeight="1" x14ac:dyDescent="0.25">
      <c r="A8" s="4"/>
      <c r="B8" s="5"/>
      <c r="C8" s="5"/>
      <c r="D8" s="5"/>
      <c r="E8" s="6"/>
      <c r="F8" s="5"/>
    </row>
    <row r="9" spans="1:6" ht="15.95" customHeight="1" x14ac:dyDescent="0.25">
      <c r="A9" s="7"/>
      <c r="B9" s="8"/>
      <c r="C9" s="8"/>
      <c r="D9" s="8"/>
      <c r="E9" s="9"/>
      <c r="F9" s="8"/>
    </row>
    <row r="10" spans="1:6" ht="15.95" customHeight="1" x14ac:dyDescent="0.25">
      <c r="A10" s="4"/>
      <c r="B10" s="5"/>
      <c r="C10" s="5"/>
      <c r="D10" s="5"/>
      <c r="E10" s="6"/>
      <c r="F10" s="5"/>
    </row>
    <row r="11" spans="1:6" ht="15.95" customHeight="1" x14ac:dyDescent="0.25">
      <c r="A11" s="7"/>
      <c r="B11" s="8"/>
      <c r="C11" s="8"/>
      <c r="D11" s="8"/>
      <c r="E11" s="9"/>
      <c r="F11" s="8"/>
    </row>
    <row r="12" spans="1:6" ht="15.95" customHeight="1" x14ac:dyDescent="0.25">
      <c r="A12" s="4"/>
      <c r="B12" s="5"/>
      <c r="C12" s="5"/>
      <c r="D12" s="5"/>
      <c r="E12" s="6"/>
      <c r="F12" s="5"/>
    </row>
    <row r="13" spans="1:6" ht="15.95" customHeight="1" x14ac:dyDescent="0.25">
      <c r="A13" s="7"/>
      <c r="B13" s="8"/>
      <c r="C13" s="8"/>
      <c r="D13" s="8"/>
      <c r="E13" s="9"/>
      <c r="F13" s="8"/>
    </row>
    <row r="14" spans="1:6" ht="15.95" customHeight="1" x14ac:dyDescent="0.25">
      <c r="A14" s="4"/>
      <c r="B14" s="5"/>
      <c r="C14" s="5"/>
      <c r="D14" s="5"/>
      <c r="E14" s="6"/>
      <c r="F14" s="5"/>
    </row>
    <row r="15" spans="1:6" ht="15.95" customHeight="1" x14ac:dyDescent="0.25">
      <c r="A15" s="7"/>
      <c r="B15" s="8"/>
      <c r="C15" s="8"/>
      <c r="D15" s="8"/>
      <c r="E15" s="9"/>
      <c r="F15" s="8"/>
    </row>
    <row r="16" spans="1:6" ht="15.95" customHeight="1" x14ac:dyDescent="0.25">
      <c r="A16" s="4"/>
      <c r="B16" s="5"/>
      <c r="C16" s="5"/>
      <c r="D16" s="5"/>
      <c r="E16" s="6"/>
      <c r="F16" s="5"/>
    </row>
    <row r="17" spans="1:6" ht="15.95" customHeight="1" x14ac:dyDescent="0.25">
      <c r="A17" s="7"/>
      <c r="B17" s="8"/>
      <c r="C17" s="8"/>
      <c r="D17" s="8"/>
      <c r="E17" s="9"/>
      <c r="F17" s="8"/>
    </row>
    <row r="18" spans="1:6" ht="15.95" customHeight="1" x14ac:dyDescent="0.25">
      <c r="A18" s="4"/>
      <c r="B18" s="5"/>
      <c r="C18" s="5"/>
      <c r="D18" s="5"/>
      <c r="E18" s="6"/>
      <c r="F18" s="5"/>
    </row>
    <row r="19" spans="1:6" ht="15.95" customHeight="1" x14ac:dyDescent="0.25">
      <c r="A19" s="7"/>
      <c r="B19" s="8"/>
      <c r="C19" s="8"/>
      <c r="D19" s="8"/>
      <c r="E19" s="9"/>
      <c r="F19" s="8"/>
    </row>
    <row r="20" spans="1:6" ht="15.95" customHeight="1" x14ac:dyDescent="0.25">
      <c r="A20" s="4"/>
      <c r="B20" s="5"/>
      <c r="C20" s="5"/>
      <c r="D20" s="5"/>
      <c r="E20" s="6"/>
      <c r="F20" s="5"/>
    </row>
    <row r="21" spans="1:6" ht="15.95" customHeight="1" x14ac:dyDescent="0.25">
      <c r="A21" s="7"/>
      <c r="B21" s="8"/>
      <c r="C21" s="8"/>
      <c r="D21" s="8"/>
      <c r="E21" s="9"/>
      <c r="F21" s="8"/>
    </row>
    <row r="22" spans="1:6" ht="15.95" customHeight="1" x14ac:dyDescent="0.25">
      <c r="A22" s="4"/>
      <c r="B22" s="5"/>
      <c r="C22" s="5"/>
      <c r="D22" s="5"/>
      <c r="E22" s="6"/>
      <c r="F22" s="5"/>
    </row>
    <row r="23" spans="1:6" ht="15.95" customHeight="1" x14ac:dyDescent="0.25">
      <c r="A23" s="7"/>
      <c r="B23" s="8"/>
      <c r="C23" s="8"/>
      <c r="D23" s="8"/>
      <c r="E23" s="9"/>
      <c r="F23" s="8"/>
    </row>
    <row r="24" spans="1:6" ht="15.95" customHeight="1" x14ac:dyDescent="0.25">
      <c r="A24" s="4"/>
      <c r="B24" s="5"/>
      <c r="C24" s="5"/>
      <c r="D24" s="5"/>
      <c r="E24" s="6"/>
      <c r="F24" s="5"/>
    </row>
    <row r="25" spans="1:6" ht="15.95" customHeight="1" x14ac:dyDescent="0.25">
      <c r="A25" s="7"/>
      <c r="B25" s="8"/>
      <c r="C25" s="8"/>
      <c r="D25" s="8"/>
      <c r="E25" s="9"/>
      <c r="F25" s="8"/>
    </row>
    <row r="26" spans="1:6" ht="15.95" customHeight="1" x14ac:dyDescent="0.25">
      <c r="A26" s="4"/>
      <c r="B26" s="5"/>
      <c r="C26" s="5"/>
      <c r="D26" s="5"/>
      <c r="E26" s="6"/>
      <c r="F26" s="5"/>
    </row>
    <row r="27" spans="1:6" ht="15.95" customHeight="1" x14ac:dyDescent="0.25">
      <c r="A27" s="7"/>
      <c r="B27" s="8"/>
      <c r="C27" s="8"/>
      <c r="D27" s="8"/>
      <c r="E27" s="9"/>
      <c r="F27" s="8"/>
    </row>
    <row r="28" spans="1:6" ht="15.95" customHeight="1" x14ac:dyDescent="0.25">
      <c r="A28" s="4"/>
      <c r="B28" s="5"/>
      <c r="C28" s="5"/>
      <c r="D28" s="5"/>
      <c r="E28" s="6"/>
      <c r="F28" s="5"/>
    </row>
    <row r="29" spans="1:6" ht="15.95" customHeight="1" x14ac:dyDescent="0.25">
      <c r="A29" s="7"/>
      <c r="B29" s="8"/>
      <c r="C29" s="8"/>
      <c r="D29" s="8"/>
      <c r="E29" s="9"/>
      <c r="F29" s="8"/>
    </row>
    <row r="30" spans="1:6" ht="15.95" customHeight="1" x14ac:dyDescent="0.25">
      <c r="A30" s="4"/>
      <c r="B30" s="5"/>
      <c r="C30" s="5"/>
      <c r="D30" s="5"/>
      <c r="E30" s="6"/>
      <c r="F30" s="5"/>
    </row>
    <row r="31" spans="1:6" ht="15.95" customHeight="1" x14ac:dyDescent="0.25">
      <c r="A31" s="7"/>
      <c r="B31" s="8"/>
      <c r="C31" s="8"/>
      <c r="D31" s="8"/>
      <c r="E31" s="9"/>
      <c r="F31" s="8"/>
    </row>
    <row r="32" spans="1:6" ht="15.95" customHeight="1" x14ac:dyDescent="0.25">
      <c r="A32" s="4"/>
      <c r="B32" s="5"/>
      <c r="C32" s="5"/>
      <c r="D32" s="5"/>
      <c r="E32" s="6"/>
      <c r="F32" s="5"/>
    </row>
    <row r="33" spans="1:6" ht="15.95" customHeight="1" x14ac:dyDescent="0.25">
      <c r="A33" s="7"/>
      <c r="B33" s="8"/>
      <c r="C33" s="8"/>
      <c r="D33" s="8"/>
      <c r="E33" s="9"/>
      <c r="F33" s="8"/>
    </row>
    <row r="34" spans="1:6" ht="15.95" customHeight="1" x14ac:dyDescent="0.25">
      <c r="A34" s="4"/>
      <c r="B34" s="5"/>
      <c r="C34" s="5"/>
      <c r="D34" s="5"/>
      <c r="E34" s="6"/>
      <c r="F34" s="5"/>
    </row>
    <row r="35" spans="1:6" ht="15.95" customHeight="1" x14ac:dyDescent="0.25">
      <c r="A35" s="7"/>
      <c r="B35" s="8"/>
      <c r="C35" s="8"/>
      <c r="D35" s="8"/>
      <c r="E35" s="9"/>
      <c r="F35" s="8"/>
    </row>
    <row r="36" spans="1:6" ht="15.95" customHeight="1" x14ac:dyDescent="0.25">
      <c r="A36" s="4"/>
      <c r="B36" s="5"/>
      <c r="C36" s="5"/>
      <c r="D36" s="5"/>
      <c r="E36" s="6"/>
      <c r="F36" s="5"/>
    </row>
    <row r="37" spans="1:6" ht="15.95" customHeight="1" x14ac:dyDescent="0.25">
      <c r="A37" s="7"/>
      <c r="B37" s="8"/>
      <c r="C37" s="8"/>
      <c r="D37" s="8"/>
      <c r="E37" s="9"/>
      <c r="F37" s="8"/>
    </row>
    <row r="38" spans="1:6" ht="15.95" customHeight="1" x14ac:dyDescent="0.25">
      <c r="A38" s="4"/>
      <c r="B38" s="5"/>
      <c r="C38" s="5"/>
      <c r="D38" s="5"/>
      <c r="E38" s="6"/>
      <c r="F38" s="5"/>
    </row>
    <row r="39" spans="1:6" ht="15.95" customHeight="1" x14ac:dyDescent="0.25">
      <c r="A39" s="7"/>
      <c r="B39" s="8"/>
      <c r="C39" s="8"/>
      <c r="D39" s="8"/>
      <c r="E39" s="9"/>
      <c r="F39" s="8"/>
    </row>
    <row r="40" spans="1:6" ht="15.95" customHeight="1" x14ac:dyDescent="0.25">
      <c r="A40" s="4"/>
      <c r="B40" s="5"/>
      <c r="C40" s="5"/>
      <c r="D40" s="5"/>
      <c r="E40" s="6"/>
      <c r="F40" s="5"/>
    </row>
    <row r="41" spans="1:6" ht="15.95" customHeight="1" x14ac:dyDescent="0.25">
      <c r="A41" s="7"/>
      <c r="B41" s="8"/>
      <c r="C41" s="8"/>
      <c r="D41" s="8"/>
      <c r="E41" s="9"/>
      <c r="F41" s="8"/>
    </row>
    <row r="42" spans="1:6" ht="15.95" customHeight="1" x14ac:dyDescent="0.25">
      <c r="A42" s="4"/>
      <c r="B42" s="5"/>
      <c r="C42" s="5"/>
      <c r="D42" s="5"/>
      <c r="E42" s="6"/>
      <c r="F42" s="5"/>
    </row>
    <row r="43" spans="1:6" ht="15.95" customHeight="1" x14ac:dyDescent="0.25">
      <c r="A43" s="7"/>
      <c r="B43" s="8"/>
      <c r="C43" s="8"/>
      <c r="D43" s="8"/>
      <c r="E43" s="9"/>
      <c r="F43" s="8"/>
    </row>
    <row r="44" spans="1:6" ht="15.95" customHeight="1" x14ac:dyDescent="0.25">
      <c r="A44" s="4"/>
      <c r="B44" s="5"/>
      <c r="C44" s="5"/>
      <c r="D44" s="5"/>
      <c r="E44" s="6"/>
      <c r="F44" s="5"/>
    </row>
    <row r="45" spans="1:6" ht="15.95" customHeight="1" x14ac:dyDescent="0.25">
      <c r="A45" s="7"/>
      <c r="B45" s="8"/>
      <c r="C45" s="8"/>
      <c r="D45" s="8"/>
      <c r="E45" s="9"/>
      <c r="F45" s="8"/>
    </row>
    <row r="46" spans="1:6" ht="15.95" customHeight="1" x14ac:dyDescent="0.25">
      <c r="A46" s="4"/>
      <c r="B46" s="5"/>
      <c r="C46" s="5"/>
      <c r="D46" s="5"/>
      <c r="E46" s="6"/>
      <c r="F46" s="5"/>
    </row>
    <row r="47" spans="1:6" ht="15.95" customHeight="1" x14ac:dyDescent="0.25">
      <c r="A47" s="7"/>
      <c r="B47" s="8"/>
      <c r="C47" s="8"/>
      <c r="D47" s="8"/>
      <c r="E47" s="9"/>
      <c r="F47" s="8"/>
    </row>
    <row r="48" spans="1:6" ht="15.95" customHeight="1" x14ac:dyDescent="0.25">
      <c r="A48" s="4"/>
      <c r="B48" s="5"/>
      <c r="C48" s="5"/>
      <c r="D48" s="5"/>
      <c r="E48" s="6"/>
      <c r="F48" s="5"/>
    </row>
    <row r="49" spans="1:6" ht="15.95" customHeight="1" x14ac:dyDescent="0.25">
      <c r="A49" s="7"/>
      <c r="B49" s="8"/>
      <c r="C49" s="8"/>
      <c r="D49" s="8"/>
      <c r="E49" s="9"/>
      <c r="F49" s="8"/>
    </row>
    <row r="50" spans="1:6" ht="15.95" customHeight="1" x14ac:dyDescent="0.25">
      <c r="A50" s="4"/>
      <c r="B50" s="5"/>
      <c r="C50" s="5"/>
      <c r="D50" s="5"/>
      <c r="E50" s="6"/>
      <c r="F50" s="5"/>
    </row>
    <row r="51" spans="1:6" ht="15.95" customHeight="1" x14ac:dyDescent="0.25">
      <c r="A51" s="7"/>
      <c r="B51" s="8"/>
      <c r="C51" s="8"/>
      <c r="D51" s="8"/>
      <c r="E51" s="9"/>
      <c r="F51" s="8"/>
    </row>
    <row r="52" spans="1:6" ht="15.95" customHeight="1" x14ac:dyDescent="0.25">
      <c r="A52" s="4"/>
      <c r="B52" s="5"/>
      <c r="C52" s="5"/>
      <c r="D52" s="5"/>
      <c r="E52" s="6"/>
      <c r="F52" s="5"/>
    </row>
    <row r="53" spans="1:6" ht="15.95" customHeight="1" x14ac:dyDescent="0.25">
      <c r="A53" s="7"/>
      <c r="B53" s="8"/>
      <c r="C53" s="8"/>
      <c r="D53" s="8"/>
      <c r="E53" s="9"/>
      <c r="F53" s="8"/>
    </row>
    <row r="54" spans="1:6" ht="20.100000000000001" customHeight="1" x14ac:dyDescent="0.25">
      <c r="D54" s="10" t="s">
        <v>8</v>
      </c>
      <c r="E54" s="11">
        <f>SUM(E4:E53)</f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defaultRowHeight="15" x14ac:dyDescent="0.25"/>
  <sheetData>
    <row r="1" spans="1:8" ht="18.75" x14ac:dyDescent="0.25">
      <c r="A1" s="1" t="s">
        <v>9</v>
      </c>
    </row>
    <row r="2" spans="1:8" x14ac:dyDescent="0.25">
      <c r="A2" s="2" t="s">
        <v>1</v>
      </c>
    </row>
    <row r="3" spans="1:8" ht="25.5" x14ac:dyDescent="0.25">
      <c r="A3" s="12" t="s">
        <v>2</v>
      </c>
      <c r="B3" s="12" t="s">
        <v>10</v>
      </c>
      <c r="C3" s="12" t="s">
        <v>4</v>
      </c>
      <c r="D3" s="12" t="s">
        <v>11</v>
      </c>
      <c r="E3" s="12" t="s">
        <v>12</v>
      </c>
      <c r="F3" s="12" t="s">
        <v>6</v>
      </c>
      <c r="G3" s="12" t="s">
        <v>13</v>
      </c>
      <c r="H3" s="12" t="s">
        <v>7</v>
      </c>
    </row>
    <row r="4" spans="1:8" x14ac:dyDescent="0.25">
      <c r="A4" s="4"/>
      <c r="B4" s="5"/>
      <c r="C4" s="5"/>
      <c r="D4" s="5"/>
      <c r="E4" s="5"/>
      <c r="F4" s="6"/>
      <c r="G4" s="13"/>
      <c r="H4" s="5"/>
    </row>
    <row r="5" spans="1:8" x14ac:dyDescent="0.25">
      <c r="A5" s="7"/>
      <c r="B5" s="8"/>
      <c r="C5" s="8"/>
      <c r="D5" s="8"/>
      <c r="E5" s="8"/>
      <c r="F5" s="9"/>
      <c r="G5" s="14"/>
      <c r="H5" s="8"/>
    </row>
    <row r="6" spans="1:8" x14ac:dyDescent="0.25">
      <c r="A6" s="4"/>
      <c r="B6" s="5"/>
      <c r="C6" s="5"/>
      <c r="D6" s="5"/>
      <c r="E6" s="5"/>
      <c r="F6" s="6"/>
      <c r="G6" s="13"/>
      <c r="H6" s="5"/>
    </row>
    <row r="7" spans="1:8" x14ac:dyDescent="0.25">
      <c r="A7" s="7"/>
      <c r="B7" s="8"/>
      <c r="C7" s="8"/>
      <c r="D7" s="8"/>
      <c r="E7" s="8"/>
      <c r="F7" s="9"/>
      <c r="G7" s="14"/>
      <c r="H7" s="8"/>
    </row>
    <row r="8" spans="1:8" x14ac:dyDescent="0.25">
      <c r="A8" s="4"/>
      <c r="B8" s="5"/>
      <c r="C8" s="5"/>
      <c r="D8" s="5"/>
      <c r="E8" s="5"/>
      <c r="F8" s="6"/>
      <c r="G8" s="13"/>
      <c r="H8" s="5"/>
    </row>
    <row r="9" spans="1:8" x14ac:dyDescent="0.25">
      <c r="A9" s="7"/>
      <c r="B9" s="8"/>
      <c r="C9" s="8"/>
      <c r="D9" s="8"/>
      <c r="E9" s="8"/>
      <c r="F9" s="9"/>
      <c r="G9" s="14"/>
      <c r="H9" s="8"/>
    </row>
    <row r="10" spans="1:8" x14ac:dyDescent="0.25">
      <c r="A10" s="4"/>
      <c r="B10" s="5"/>
      <c r="C10" s="5"/>
      <c r="D10" s="5"/>
      <c r="E10" s="5"/>
      <c r="F10" s="6"/>
      <c r="G10" s="13"/>
      <c r="H10" s="5"/>
    </row>
    <row r="11" spans="1:8" x14ac:dyDescent="0.25">
      <c r="A11" s="7"/>
      <c r="B11" s="8"/>
      <c r="C11" s="8"/>
      <c r="D11" s="8"/>
      <c r="E11" s="8"/>
      <c r="F11" s="9"/>
      <c r="G11" s="14"/>
      <c r="H11" s="8"/>
    </row>
    <row r="12" spans="1:8" x14ac:dyDescent="0.25">
      <c r="A12" s="4"/>
      <c r="B12" s="5"/>
      <c r="C12" s="5"/>
      <c r="D12" s="5"/>
      <c r="E12" s="5"/>
      <c r="F12" s="6"/>
      <c r="G12" s="13"/>
      <c r="H12" s="5"/>
    </row>
    <row r="13" spans="1:8" x14ac:dyDescent="0.25">
      <c r="A13" s="7"/>
      <c r="B13" s="8"/>
      <c r="C13" s="8"/>
      <c r="D13" s="8"/>
      <c r="E13" s="8"/>
      <c r="F13" s="9"/>
      <c r="G13" s="14"/>
      <c r="H13" s="8"/>
    </row>
    <row r="14" spans="1:8" x14ac:dyDescent="0.25">
      <c r="A14" s="4"/>
      <c r="B14" s="5"/>
      <c r="C14" s="5"/>
      <c r="D14" s="5"/>
      <c r="E14" s="5"/>
      <c r="F14" s="6"/>
      <c r="G14" s="13"/>
      <c r="H14" s="5"/>
    </row>
    <row r="15" spans="1:8" x14ac:dyDescent="0.25">
      <c r="A15" s="7"/>
      <c r="B15" s="8"/>
      <c r="C15" s="8"/>
      <c r="D15" s="8"/>
      <c r="E15" s="8"/>
      <c r="F15" s="9"/>
      <c r="G15" s="14"/>
      <c r="H15" s="8"/>
    </row>
    <row r="16" spans="1:8" x14ac:dyDescent="0.25">
      <c r="A16" s="4"/>
      <c r="B16" s="5"/>
      <c r="C16" s="5"/>
      <c r="D16" s="5"/>
      <c r="E16" s="5"/>
      <c r="F16" s="6"/>
      <c r="G16" s="13"/>
      <c r="H16" s="5"/>
    </row>
    <row r="17" spans="1:8" x14ac:dyDescent="0.25">
      <c r="A17" s="7"/>
      <c r="B17" s="8"/>
      <c r="C17" s="8"/>
      <c r="D17" s="8"/>
      <c r="E17" s="8"/>
      <c r="F17" s="9"/>
      <c r="G17" s="14"/>
      <c r="H17" s="8"/>
    </row>
    <row r="18" spans="1:8" x14ac:dyDescent="0.25">
      <c r="A18" s="4"/>
      <c r="B18" s="5"/>
      <c r="C18" s="5"/>
      <c r="D18" s="5"/>
      <c r="E18" s="5"/>
      <c r="F18" s="6"/>
      <c r="G18" s="13"/>
      <c r="H18" s="5"/>
    </row>
    <row r="19" spans="1:8" x14ac:dyDescent="0.25">
      <c r="A19" s="7"/>
      <c r="B19" s="8"/>
      <c r="C19" s="8"/>
      <c r="D19" s="8"/>
      <c r="E19" s="8"/>
      <c r="F19" s="9"/>
      <c r="G19" s="14"/>
      <c r="H19" s="8"/>
    </row>
    <row r="20" spans="1:8" x14ac:dyDescent="0.25">
      <c r="A20" s="4"/>
      <c r="B20" s="5"/>
      <c r="C20" s="5"/>
      <c r="D20" s="5"/>
      <c r="E20" s="5"/>
      <c r="F20" s="6"/>
      <c r="G20" s="13"/>
      <c r="H20" s="5"/>
    </row>
    <row r="21" spans="1:8" x14ac:dyDescent="0.25">
      <c r="A21" s="7"/>
      <c r="B21" s="8"/>
      <c r="C21" s="8"/>
      <c r="D21" s="8"/>
      <c r="E21" s="8"/>
      <c r="F21" s="9"/>
      <c r="G21" s="14"/>
      <c r="H21" s="8"/>
    </row>
    <row r="22" spans="1:8" x14ac:dyDescent="0.25">
      <c r="A22" s="4"/>
      <c r="B22" s="5"/>
      <c r="C22" s="5"/>
      <c r="D22" s="5"/>
      <c r="E22" s="5"/>
      <c r="F22" s="6"/>
      <c r="G22" s="13"/>
      <c r="H22" s="5"/>
    </row>
    <row r="23" spans="1:8" x14ac:dyDescent="0.25">
      <c r="A23" s="7"/>
      <c r="B23" s="8"/>
      <c r="C23" s="8"/>
      <c r="D23" s="8"/>
      <c r="E23" s="8"/>
      <c r="F23" s="9"/>
      <c r="G23" s="14"/>
      <c r="H23" s="8"/>
    </row>
    <row r="24" spans="1:8" x14ac:dyDescent="0.25">
      <c r="A24" s="4"/>
      <c r="B24" s="5"/>
      <c r="C24" s="5"/>
      <c r="D24" s="5"/>
      <c r="E24" s="5"/>
      <c r="F24" s="6"/>
      <c r="G24" s="13"/>
      <c r="H24" s="5"/>
    </row>
    <row r="25" spans="1:8" x14ac:dyDescent="0.25">
      <c r="A25" s="7"/>
      <c r="B25" s="8"/>
      <c r="C25" s="8"/>
      <c r="D25" s="8"/>
      <c r="E25" s="8"/>
      <c r="F25" s="9"/>
      <c r="G25" s="14"/>
      <c r="H25" s="8"/>
    </row>
    <row r="26" spans="1:8" x14ac:dyDescent="0.25">
      <c r="A26" s="4"/>
      <c r="B26" s="5"/>
      <c r="C26" s="5"/>
      <c r="D26" s="5"/>
      <c r="E26" s="5"/>
      <c r="F26" s="6"/>
      <c r="G26" s="13"/>
      <c r="H26" s="5"/>
    </row>
    <row r="27" spans="1:8" x14ac:dyDescent="0.25">
      <c r="A27" s="7"/>
      <c r="B27" s="8"/>
      <c r="C27" s="8"/>
      <c r="D27" s="8"/>
      <c r="E27" s="8"/>
      <c r="F27" s="9"/>
      <c r="G27" s="14"/>
      <c r="H27" s="8"/>
    </row>
    <row r="28" spans="1:8" x14ac:dyDescent="0.25">
      <c r="A28" s="4"/>
      <c r="B28" s="5"/>
      <c r="C28" s="5"/>
      <c r="D28" s="5"/>
      <c r="E28" s="5"/>
      <c r="F28" s="6"/>
      <c r="G28" s="13"/>
      <c r="H28" s="5"/>
    </row>
    <row r="29" spans="1:8" x14ac:dyDescent="0.25">
      <c r="A29" s="7"/>
      <c r="B29" s="8"/>
      <c r="C29" s="8"/>
      <c r="D29" s="8"/>
      <c r="E29" s="8"/>
      <c r="F29" s="9"/>
      <c r="G29" s="14"/>
      <c r="H29" s="8"/>
    </row>
    <row r="30" spans="1:8" x14ac:dyDescent="0.25">
      <c r="A30" s="4"/>
      <c r="B30" s="5"/>
      <c r="C30" s="5"/>
      <c r="D30" s="5"/>
      <c r="E30" s="5"/>
      <c r="F30" s="6"/>
      <c r="G30" s="13"/>
      <c r="H30" s="5"/>
    </row>
    <row r="31" spans="1:8" x14ac:dyDescent="0.25">
      <c r="A31" s="7"/>
      <c r="B31" s="8"/>
      <c r="C31" s="8"/>
      <c r="D31" s="8"/>
      <c r="E31" s="8"/>
      <c r="F31" s="9"/>
      <c r="G31" s="14"/>
      <c r="H31" s="8"/>
    </row>
    <row r="32" spans="1:8" x14ac:dyDescent="0.25">
      <c r="A32" s="4"/>
      <c r="B32" s="5"/>
      <c r="C32" s="5"/>
      <c r="D32" s="5"/>
      <c r="E32" s="5"/>
      <c r="F32" s="6"/>
      <c r="G32" s="13"/>
      <c r="H32" s="5"/>
    </row>
    <row r="33" spans="1:8" x14ac:dyDescent="0.25">
      <c r="A33" s="7"/>
      <c r="B33" s="8"/>
      <c r="C33" s="8"/>
      <c r="D33" s="8"/>
      <c r="E33" s="8"/>
      <c r="F33" s="9"/>
      <c r="G33" s="14"/>
      <c r="H33" s="8"/>
    </row>
    <row r="34" spans="1:8" x14ac:dyDescent="0.25">
      <c r="A34" s="4"/>
      <c r="B34" s="5"/>
      <c r="C34" s="5"/>
      <c r="D34" s="5"/>
      <c r="E34" s="5"/>
      <c r="F34" s="6"/>
      <c r="G34" s="13"/>
      <c r="H34" s="5"/>
    </row>
    <row r="35" spans="1:8" x14ac:dyDescent="0.25">
      <c r="A35" s="7"/>
      <c r="B35" s="8"/>
      <c r="C35" s="8"/>
      <c r="D35" s="8"/>
      <c r="E35" s="8"/>
      <c r="F35" s="9"/>
      <c r="G35" s="14"/>
      <c r="H35" s="8"/>
    </row>
    <row r="36" spans="1:8" x14ac:dyDescent="0.25">
      <c r="A36" s="4"/>
      <c r="B36" s="5"/>
      <c r="C36" s="5"/>
      <c r="D36" s="5"/>
      <c r="E36" s="5"/>
      <c r="F36" s="6"/>
      <c r="G36" s="13"/>
      <c r="H36" s="5"/>
    </row>
    <row r="37" spans="1:8" x14ac:dyDescent="0.25">
      <c r="A37" s="7"/>
      <c r="B37" s="8"/>
      <c r="C37" s="8"/>
      <c r="D37" s="8"/>
      <c r="E37" s="8"/>
      <c r="F37" s="9"/>
      <c r="G37" s="14"/>
      <c r="H37" s="8"/>
    </row>
    <row r="38" spans="1:8" x14ac:dyDescent="0.25">
      <c r="A38" s="4"/>
      <c r="B38" s="5"/>
      <c r="C38" s="5"/>
      <c r="D38" s="5"/>
      <c r="E38" s="5"/>
      <c r="F38" s="6"/>
      <c r="G38" s="13"/>
      <c r="H38" s="5"/>
    </row>
    <row r="39" spans="1:8" x14ac:dyDescent="0.25">
      <c r="A39" s="7"/>
      <c r="B39" s="8"/>
      <c r="C39" s="8"/>
      <c r="D39" s="8"/>
      <c r="E39" s="8"/>
      <c r="F39" s="9"/>
      <c r="G39" s="14"/>
      <c r="H39" s="8"/>
    </row>
    <row r="40" spans="1:8" x14ac:dyDescent="0.25">
      <c r="A40" s="4"/>
      <c r="B40" s="5"/>
      <c r="C40" s="5"/>
      <c r="D40" s="5"/>
      <c r="E40" s="5"/>
      <c r="F40" s="6"/>
      <c r="G40" s="13"/>
      <c r="H40" s="5"/>
    </row>
    <row r="41" spans="1:8" x14ac:dyDescent="0.25">
      <c r="A41" s="7"/>
      <c r="B41" s="8"/>
      <c r="C41" s="8"/>
      <c r="D41" s="8"/>
      <c r="E41" s="8"/>
      <c r="F41" s="9"/>
      <c r="G41" s="14"/>
      <c r="H41" s="8"/>
    </row>
    <row r="42" spans="1:8" x14ac:dyDescent="0.25">
      <c r="A42" s="4"/>
      <c r="B42" s="5"/>
      <c r="C42" s="5"/>
      <c r="D42" s="5"/>
      <c r="E42" s="5"/>
      <c r="F42" s="6"/>
      <c r="G42" s="13"/>
      <c r="H42" s="5"/>
    </row>
    <row r="43" spans="1:8" x14ac:dyDescent="0.25">
      <c r="A43" s="7"/>
      <c r="B43" s="8"/>
      <c r="C43" s="8"/>
      <c r="D43" s="8"/>
      <c r="E43" s="8"/>
      <c r="F43" s="9"/>
      <c r="G43" s="14"/>
      <c r="H43" s="8"/>
    </row>
    <row r="44" spans="1:8" x14ac:dyDescent="0.25">
      <c r="A44" s="4"/>
      <c r="B44" s="5"/>
      <c r="C44" s="5"/>
      <c r="D44" s="5"/>
      <c r="E44" s="5"/>
      <c r="F44" s="6"/>
      <c r="G44" s="13"/>
      <c r="H44" s="5"/>
    </row>
    <row r="45" spans="1:8" x14ac:dyDescent="0.25">
      <c r="A45" s="7"/>
      <c r="B45" s="8"/>
      <c r="C45" s="8"/>
      <c r="D45" s="8"/>
      <c r="E45" s="8"/>
      <c r="F45" s="9"/>
      <c r="G45" s="14"/>
      <c r="H45" s="8"/>
    </row>
    <row r="46" spans="1:8" x14ac:dyDescent="0.25">
      <c r="A46" s="4"/>
      <c r="B46" s="5"/>
      <c r="C46" s="5"/>
      <c r="D46" s="5"/>
      <c r="E46" s="5"/>
      <c r="F46" s="6"/>
      <c r="G46" s="13"/>
      <c r="H46" s="5"/>
    </row>
    <row r="47" spans="1:8" x14ac:dyDescent="0.25">
      <c r="A47" s="7"/>
      <c r="B47" s="8"/>
      <c r="C47" s="8"/>
      <c r="D47" s="8"/>
      <c r="E47" s="8"/>
      <c r="F47" s="9"/>
      <c r="G47" s="14"/>
      <c r="H47" s="8"/>
    </row>
    <row r="48" spans="1:8" x14ac:dyDescent="0.25">
      <c r="A48" s="4"/>
      <c r="B48" s="5"/>
      <c r="C48" s="5"/>
      <c r="D48" s="5"/>
      <c r="E48" s="5"/>
      <c r="F48" s="6"/>
      <c r="G48" s="13"/>
      <c r="H48" s="5"/>
    </row>
    <row r="49" spans="1:8" x14ac:dyDescent="0.25">
      <c r="A49" s="7"/>
      <c r="B49" s="8"/>
      <c r="C49" s="8"/>
      <c r="D49" s="8"/>
      <c r="E49" s="8"/>
      <c r="F49" s="9"/>
      <c r="G49" s="14"/>
      <c r="H49" s="8"/>
    </row>
    <row r="50" spans="1:8" x14ac:dyDescent="0.25">
      <c r="A50" s="4"/>
      <c r="B50" s="5"/>
      <c r="C50" s="5"/>
      <c r="D50" s="5"/>
      <c r="E50" s="5"/>
      <c r="F50" s="6"/>
      <c r="G50" s="13"/>
      <c r="H50" s="5"/>
    </row>
    <row r="51" spans="1:8" x14ac:dyDescent="0.25">
      <c r="A51" s="7"/>
      <c r="B51" s="8"/>
      <c r="C51" s="8"/>
      <c r="D51" s="8"/>
      <c r="E51" s="8"/>
      <c r="F51" s="9"/>
      <c r="G51" s="14"/>
      <c r="H51" s="8"/>
    </row>
    <row r="52" spans="1:8" x14ac:dyDescent="0.25">
      <c r="A52" s="4"/>
      <c r="B52" s="5"/>
      <c r="C52" s="5"/>
      <c r="D52" s="5"/>
      <c r="E52" s="5"/>
      <c r="F52" s="6"/>
      <c r="G52" s="13"/>
      <c r="H52" s="5"/>
    </row>
    <row r="53" spans="1:8" x14ac:dyDescent="0.25">
      <c r="A53" s="7"/>
      <c r="B53" s="8"/>
      <c r="C53" s="8"/>
      <c r="D53" s="8"/>
      <c r="E53" s="8"/>
      <c r="F53" s="9"/>
      <c r="G53" s="14"/>
      <c r="H53" s="8"/>
    </row>
    <row r="54" spans="1:8" x14ac:dyDescent="0.25">
      <c r="E54" s="10" t="s">
        <v>8</v>
      </c>
      <c r="F54" s="11">
        <f>SUM(F4:F53)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5" customWidth="1"/>
    <col min="2" max="2" width="18" customWidth="1"/>
    <col min="3" max="3" width="22" customWidth="1"/>
    <col min="4" max="4" width="30" customWidth="1"/>
  </cols>
  <sheetData>
    <row r="1" spans="1:4" ht="30" customHeight="1" x14ac:dyDescent="0.25">
      <c r="A1" s="31" t="s">
        <v>14</v>
      </c>
      <c r="B1" s="30"/>
      <c r="C1" s="30"/>
      <c r="D1" s="30"/>
    </row>
    <row r="2" spans="1:4" ht="14.1" customHeight="1" x14ac:dyDescent="0.25">
      <c r="A2" s="29" t="s">
        <v>1</v>
      </c>
      <c r="B2" s="30"/>
      <c r="C2" s="30"/>
      <c r="D2" s="30"/>
    </row>
    <row r="4" spans="1:4" ht="15.95" customHeight="1" x14ac:dyDescent="0.25">
      <c r="A4" s="15" t="s">
        <v>15</v>
      </c>
      <c r="B4" s="15" t="s">
        <v>16</v>
      </c>
      <c r="C4" s="15"/>
      <c r="D4" s="15"/>
    </row>
    <row r="5" spans="1:4" ht="15.95" customHeight="1" x14ac:dyDescent="0.25">
      <c r="A5" s="16" t="s">
        <v>17</v>
      </c>
      <c r="B5" s="17">
        <f>Доходы!E54</f>
        <v>0</v>
      </c>
      <c r="C5" s="16"/>
      <c r="D5" s="16"/>
    </row>
    <row r="6" spans="1:4" ht="15.95" customHeight="1" x14ac:dyDescent="0.25">
      <c r="A6" s="18" t="s">
        <v>18</v>
      </c>
      <c r="B6" s="19">
        <f>Расходы!F54</f>
        <v>0</v>
      </c>
      <c r="C6" s="18"/>
      <c r="D6" s="18"/>
    </row>
    <row r="7" spans="1:4" ht="15.95" customHeight="1" x14ac:dyDescent="0.25">
      <c r="A7" s="20" t="s">
        <v>19</v>
      </c>
      <c r="B7" s="21">
        <f>B5-B6</f>
        <v>0</v>
      </c>
      <c r="C7" s="20"/>
      <c r="D7" s="20"/>
    </row>
    <row r="8" spans="1:4" ht="15.95" customHeight="1" x14ac:dyDescent="0.25">
      <c r="A8" s="18"/>
      <c r="B8" s="18"/>
      <c r="C8" s="18"/>
      <c r="D8" s="18"/>
    </row>
    <row r="9" spans="1:4" ht="15.95" customHeight="1" x14ac:dyDescent="0.25">
      <c r="A9" s="16" t="s">
        <v>20</v>
      </c>
      <c r="B9" s="16" t="s">
        <v>21</v>
      </c>
      <c r="C9" s="16" t="s">
        <v>22</v>
      </c>
      <c r="D9" s="16"/>
    </row>
    <row r="10" spans="1:4" ht="15.95" customHeight="1" x14ac:dyDescent="0.25">
      <c r="A10" s="18" t="s">
        <v>23</v>
      </c>
      <c r="B10" s="19">
        <f>MAX(0,(B5-300000)*0.01)</f>
        <v>0</v>
      </c>
      <c r="C10" s="18" t="s">
        <v>24</v>
      </c>
      <c r="D10" s="18"/>
    </row>
    <row r="11" spans="1:4" ht="15.95" customHeight="1" x14ac:dyDescent="0.25">
      <c r="A11" s="20" t="s">
        <v>25</v>
      </c>
      <c r="B11" s="21">
        <f>B9+B10</f>
        <v>57390</v>
      </c>
      <c r="C11" s="20"/>
      <c r="D11" s="20"/>
    </row>
    <row r="12" spans="1:4" ht="15.95" customHeight="1" x14ac:dyDescent="0.25">
      <c r="A12" s="18"/>
      <c r="B12" s="18"/>
      <c r="C12" s="18"/>
      <c r="D12" s="18"/>
    </row>
    <row r="13" spans="1:4" ht="15.95" customHeight="1" x14ac:dyDescent="0.25">
      <c r="A13" s="15" t="s">
        <v>26</v>
      </c>
      <c r="B13" s="15"/>
      <c r="C13" s="15"/>
      <c r="D13" s="15"/>
    </row>
    <row r="14" spans="1:4" ht="15.95" customHeight="1" x14ac:dyDescent="0.25">
      <c r="A14" s="18" t="s">
        <v>27</v>
      </c>
      <c r="B14" s="19">
        <f>B5*0.06</f>
        <v>0</v>
      </c>
      <c r="C14" s="18"/>
      <c r="D14" s="18"/>
    </row>
    <row r="15" spans="1:4" ht="15.95" customHeight="1" x14ac:dyDescent="0.25">
      <c r="A15" s="16" t="s">
        <v>28</v>
      </c>
      <c r="B15" s="17">
        <f>MIN(B12,B11)</f>
        <v>57390</v>
      </c>
      <c r="C15" s="16"/>
      <c r="D15" s="16" t="s">
        <v>29</v>
      </c>
    </row>
    <row r="16" spans="1:4" ht="15.95" customHeight="1" x14ac:dyDescent="0.25">
      <c r="A16" s="20" t="s">
        <v>30</v>
      </c>
      <c r="B16" s="21">
        <f>MAX(0,B12-B13)</f>
        <v>0</v>
      </c>
      <c r="C16" s="20"/>
      <c r="D16" s="20"/>
    </row>
    <row r="17" spans="1:4" ht="15.95" customHeight="1" x14ac:dyDescent="0.25">
      <c r="A17" s="16"/>
      <c r="B17" s="16"/>
      <c r="C17" s="16"/>
      <c r="D17" s="16"/>
    </row>
    <row r="18" spans="1:4" ht="15.95" customHeight="1" x14ac:dyDescent="0.25">
      <c r="A18" s="15" t="s">
        <v>31</v>
      </c>
      <c r="B18" s="15"/>
      <c r="C18" s="15"/>
      <c r="D18" s="15"/>
    </row>
    <row r="19" spans="1:4" ht="15.95" customHeight="1" x14ac:dyDescent="0.25">
      <c r="A19" s="16" t="s">
        <v>32</v>
      </c>
      <c r="B19" s="17">
        <f>MAX(0,B5-B6)</f>
        <v>0</v>
      </c>
      <c r="C19" s="16"/>
      <c r="D19" s="16"/>
    </row>
    <row r="20" spans="1:4" ht="15.95" customHeight="1" x14ac:dyDescent="0.25">
      <c r="A20" s="18" t="s">
        <v>33</v>
      </c>
      <c r="B20" s="19">
        <f>B17*0.15</f>
        <v>0</v>
      </c>
      <c r="C20" s="18"/>
      <c r="D20" s="18" t="s">
        <v>34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5" customWidth="1"/>
    <col min="2" max="2" width="48" customWidth="1"/>
    <col min="3" max="3" width="42" customWidth="1"/>
  </cols>
  <sheetData>
    <row r="1" spans="1:3" ht="27.95" customHeight="1" x14ac:dyDescent="0.25">
      <c r="A1" s="32" t="s">
        <v>35</v>
      </c>
      <c r="B1" s="30"/>
      <c r="C1" s="30"/>
    </row>
    <row r="2" spans="1:3" ht="14.1" customHeight="1" x14ac:dyDescent="0.25">
      <c r="A2" s="29" t="s">
        <v>1</v>
      </c>
      <c r="B2" s="30"/>
      <c r="C2" s="30"/>
    </row>
    <row r="3" spans="1:3" ht="20.100000000000001" customHeight="1" x14ac:dyDescent="0.25">
      <c r="A3" s="12" t="s">
        <v>36</v>
      </c>
      <c r="B3" s="12" t="s">
        <v>37</v>
      </c>
      <c r="C3" s="12" t="s">
        <v>38</v>
      </c>
    </row>
    <row r="4" spans="1:3" ht="32.1" customHeight="1" x14ac:dyDescent="0.25">
      <c r="A4" s="22" t="s">
        <v>39</v>
      </c>
      <c r="B4" s="22" t="s">
        <v>40</v>
      </c>
      <c r="C4" s="22" t="s">
        <v>41</v>
      </c>
    </row>
    <row r="5" spans="1:3" ht="32.1" customHeight="1" x14ac:dyDescent="0.25">
      <c r="A5" s="23" t="s">
        <v>42</v>
      </c>
      <c r="B5" s="23" t="s">
        <v>43</v>
      </c>
      <c r="C5" s="23" t="s">
        <v>44</v>
      </c>
    </row>
    <row r="6" spans="1:3" ht="32.1" customHeight="1" x14ac:dyDescent="0.25">
      <c r="A6" s="22" t="s">
        <v>45</v>
      </c>
      <c r="B6" s="22" t="s">
        <v>46</v>
      </c>
      <c r="C6" s="22" t="s">
        <v>47</v>
      </c>
    </row>
    <row r="7" spans="1:3" ht="32.1" customHeight="1" x14ac:dyDescent="0.25">
      <c r="A7" s="23" t="s">
        <v>48</v>
      </c>
      <c r="B7" s="23" t="s">
        <v>49</v>
      </c>
      <c r="C7" s="23" t="s">
        <v>50</v>
      </c>
    </row>
    <row r="8" spans="1:3" ht="32.1" customHeight="1" x14ac:dyDescent="0.25">
      <c r="A8" s="22" t="s">
        <v>51</v>
      </c>
      <c r="B8" s="22" t="s">
        <v>52</v>
      </c>
      <c r="C8" s="22" t="s">
        <v>53</v>
      </c>
    </row>
    <row r="9" spans="1:3" ht="32.1" customHeight="1" x14ac:dyDescent="0.25">
      <c r="A9" s="23" t="s">
        <v>54</v>
      </c>
      <c r="B9" s="23" t="s">
        <v>55</v>
      </c>
      <c r="C9" s="23" t="s">
        <v>56</v>
      </c>
    </row>
    <row r="10" spans="1:3" ht="32.1" customHeight="1" x14ac:dyDescent="0.25">
      <c r="A10" s="22" t="s">
        <v>57</v>
      </c>
      <c r="B10" s="22" t="s">
        <v>58</v>
      </c>
      <c r="C10" s="22" t="s">
        <v>59</v>
      </c>
    </row>
    <row r="11" spans="1:3" ht="32.1" customHeight="1" x14ac:dyDescent="0.25">
      <c r="A11" s="23" t="s">
        <v>60</v>
      </c>
      <c r="B11" s="23" t="s">
        <v>61</v>
      </c>
      <c r="C11" s="23" t="s">
        <v>62</v>
      </c>
    </row>
    <row r="12" spans="1:3" ht="32.1" customHeight="1" x14ac:dyDescent="0.25">
      <c r="A12" s="22" t="s">
        <v>63</v>
      </c>
      <c r="B12" s="22" t="s">
        <v>64</v>
      </c>
      <c r="C12" s="22" t="s">
        <v>65</v>
      </c>
    </row>
    <row r="13" spans="1:3" ht="32.1" customHeight="1" x14ac:dyDescent="0.25">
      <c r="A13" s="23" t="s">
        <v>66</v>
      </c>
      <c r="B13" s="23" t="s">
        <v>67</v>
      </c>
      <c r="C13" s="23" t="s">
        <v>68</v>
      </c>
    </row>
    <row r="14" spans="1:3" ht="32.1" customHeight="1" x14ac:dyDescent="0.25">
      <c r="A14" s="22" t="s">
        <v>69</v>
      </c>
      <c r="B14" s="22" t="s">
        <v>70</v>
      </c>
      <c r="C14" s="22" t="s">
        <v>71</v>
      </c>
    </row>
    <row r="15" spans="1:3" ht="32.1" customHeight="1" x14ac:dyDescent="0.25">
      <c r="A15" s="23" t="s">
        <v>72</v>
      </c>
      <c r="B15" s="23" t="s">
        <v>73</v>
      </c>
      <c r="C15" s="23" t="s">
        <v>74</v>
      </c>
    </row>
    <row r="16" spans="1:3" ht="32.1" customHeight="1" x14ac:dyDescent="0.25">
      <c r="A16" s="22" t="s">
        <v>75</v>
      </c>
      <c r="B16" s="22" t="s">
        <v>76</v>
      </c>
      <c r="C16" s="22" t="s">
        <v>77</v>
      </c>
    </row>
    <row r="17" spans="1:3" ht="32.1" customHeight="1" x14ac:dyDescent="0.25">
      <c r="A17" s="23" t="s">
        <v>78</v>
      </c>
      <c r="B17" s="23" t="s">
        <v>79</v>
      </c>
      <c r="C17" s="23" t="s">
        <v>80</v>
      </c>
    </row>
    <row r="18" spans="1:3" ht="32.1" customHeight="1" x14ac:dyDescent="0.25">
      <c r="A18" s="22" t="s">
        <v>81</v>
      </c>
      <c r="B18" s="22" t="s">
        <v>82</v>
      </c>
      <c r="C18" s="22" t="s">
        <v>83</v>
      </c>
    </row>
    <row r="19" spans="1:3" ht="32.1" customHeight="1" x14ac:dyDescent="0.25">
      <c r="A19" s="23" t="s">
        <v>84</v>
      </c>
      <c r="B19" s="23" t="s">
        <v>85</v>
      </c>
      <c r="C19" s="23" t="s">
        <v>86</v>
      </c>
    </row>
    <row r="20" spans="1:3" ht="32.1" customHeight="1" x14ac:dyDescent="0.25">
      <c r="A20" s="22" t="s">
        <v>87</v>
      </c>
      <c r="B20" s="22" t="s">
        <v>88</v>
      </c>
      <c r="C20" s="22" t="s">
        <v>89</v>
      </c>
    </row>
    <row r="21" spans="1:3" ht="32.1" customHeight="1" x14ac:dyDescent="0.25">
      <c r="A21" s="23" t="s">
        <v>90</v>
      </c>
      <c r="B21" s="23" t="s">
        <v>91</v>
      </c>
      <c r="C21" s="23" t="s">
        <v>92</v>
      </c>
    </row>
    <row r="22" spans="1:3" ht="32.1" customHeight="1" x14ac:dyDescent="0.25">
      <c r="A22" s="22" t="s">
        <v>93</v>
      </c>
      <c r="B22" s="22" t="s">
        <v>94</v>
      </c>
      <c r="C22" s="22" t="s">
        <v>95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5" customWidth="1"/>
    <col min="2" max="2" width="20" customWidth="1"/>
    <col min="3" max="3" width="28" customWidth="1"/>
    <col min="4" max="4" width="42" customWidth="1"/>
  </cols>
  <sheetData>
    <row r="1" spans="1:4" ht="30" customHeight="1" x14ac:dyDescent="0.25">
      <c r="A1" s="32" t="s">
        <v>96</v>
      </c>
      <c r="B1" s="30"/>
      <c r="C1" s="30"/>
      <c r="D1" s="30"/>
    </row>
    <row r="2" spans="1:4" ht="21.95" customHeight="1" x14ac:dyDescent="0.25">
      <c r="A2" s="33" t="s">
        <v>97</v>
      </c>
      <c r="B2" s="30"/>
      <c r="C2" s="30"/>
      <c r="D2" s="30"/>
    </row>
    <row r="3" spans="1:4" ht="20.100000000000001" customHeight="1" x14ac:dyDescent="0.25">
      <c r="A3" s="24" t="s">
        <v>36</v>
      </c>
      <c r="B3" s="24" t="s">
        <v>98</v>
      </c>
      <c r="C3" s="24" t="s">
        <v>99</v>
      </c>
      <c r="D3" s="24" t="s">
        <v>37</v>
      </c>
    </row>
    <row r="4" spans="1:4" ht="32.1" customHeight="1" x14ac:dyDescent="0.25">
      <c r="A4" s="25" t="s">
        <v>100</v>
      </c>
      <c r="B4" s="22" t="s">
        <v>101</v>
      </c>
      <c r="C4" s="22" t="s">
        <v>102</v>
      </c>
      <c r="D4" s="22" t="s">
        <v>103</v>
      </c>
    </row>
    <row r="5" spans="1:4" ht="32.1" customHeight="1" x14ac:dyDescent="0.25">
      <c r="A5" s="26" t="s">
        <v>104</v>
      </c>
      <c r="B5" s="23" t="s">
        <v>105</v>
      </c>
      <c r="C5" s="23" t="s">
        <v>102</v>
      </c>
      <c r="D5" s="23" t="s">
        <v>106</v>
      </c>
    </row>
    <row r="6" spans="1:4" ht="32.1" customHeight="1" x14ac:dyDescent="0.25">
      <c r="A6" s="25" t="s">
        <v>107</v>
      </c>
      <c r="B6" s="22" t="s">
        <v>108</v>
      </c>
      <c r="C6" s="22" t="s">
        <v>109</v>
      </c>
      <c r="D6" s="22" t="s">
        <v>110</v>
      </c>
    </row>
    <row r="7" spans="1:4" ht="32.1" customHeight="1" x14ac:dyDescent="0.25">
      <c r="A7" s="26" t="s">
        <v>111</v>
      </c>
      <c r="B7" s="23" t="s">
        <v>108</v>
      </c>
      <c r="C7" s="23" t="s">
        <v>102</v>
      </c>
      <c r="D7" s="23" t="s">
        <v>112</v>
      </c>
    </row>
    <row r="8" spans="1:4" ht="32.1" customHeight="1" x14ac:dyDescent="0.25">
      <c r="A8" s="25" t="s">
        <v>113</v>
      </c>
      <c r="B8" s="22" t="s">
        <v>108</v>
      </c>
      <c r="C8" s="22" t="s">
        <v>102</v>
      </c>
      <c r="D8" s="22" t="s">
        <v>114</v>
      </c>
    </row>
    <row r="9" spans="1:4" ht="32.1" customHeight="1" x14ac:dyDescent="0.25">
      <c r="A9" s="26" t="s">
        <v>115</v>
      </c>
      <c r="B9" s="23" t="s">
        <v>116</v>
      </c>
      <c r="C9" s="23" t="s">
        <v>117</v>
      </c>
      <c r="D9" s="23" t="s">
        <v>46</v>
      </c>
    </row>
    <row r="10" spans="1:4" ht="32.1" customHeight="1" x14ac:dyDescent="0.25">
      <c r="A10" s="25" t="s">
        <v>118</v>
      </c>
      <c r="B10" s="22" t="s">
        <v>119</v>
      </c>
      <c r="C10" s="22" t="s">
        <v>120</v>
      </c>
      <c r="D10" s="22" t="s">
        <v>49</v>
      </c>
    </row>
    <row r="11" spans="1:4" ht="32.1" customHeight="1" x14ac:dyDescent="0.25">
      <c r="A11" s="26" t="s">
        <v>121</v>
      </c>
      <c r="B11" s="23" t="s">
        <v>122</v>
      </c>
      <c r="C11" s="23" t="s">
        <v>123</v>
      </c>
      <c r="D11" s="23" t="s">
        <v>124</v>
      </c>
    </row>
    <row r="12" spans="1:4" ht="32.1" customHeight="1" x14ac:dyDescent="0.25">
      <c r="A12" s="25" t="s">
        <v>125</v>
      </c>
      <c r="B12" s="22" t="s">
        <v>126</v>
      </c>
      <c r="C12" s="22" t="s">
        <v>102</v>
      </c>
      <c r="D12" s="22" t="s">
        <v>127</v>
      </c>
    </row>
    <row r="13" spans="1:4" ht="32.1" customHeight="1" x14ac:dyDescent="0.25">
      <c r="A13" s="26" t="s">
        <v>128</v>
      </c>
      <c r="B13" s="23" t="s">
        <v>129</v>
      </c>
      <c r="C13" s="23" t="s">
        <v>130</v>
      </c>
      <c r="D13" s="23" t="s">
        <v>131</v>
      </c>
    </row>
    <row r="14" spans="1:4" ht="32.1" customHeight="1" x14ac:dyDescent="0.25">
      <c r="A14" s="25" t="s">
        <v>132</v>
      </c>
      <c r="B14" s="22" t="s">
        <v>133</v>
      </c>
      <c r="C14" s="22" t="s">
        <v>102</v>
      </c>
      <c r="D14" s="22" t="s">
        <v>134</v>
      </c>
    </row>
    <row r="15" spans="1:4" ht="32.1" customHeight="1" x14ac:dyDescent="0.25">
      <c r="A15" s="26" t="s">
        <v>135</v>
      </c>
      <c r="B15" s="23" t="s">
        <v>136</v>
      </c>
      <c r="C15" s="23" t="s">
        <v>137</v>
      </c>
      <c r="D15" s="23" t="s">
        <v>138</v>
      </c>
    </row>
    <row r="16" spans="1:4" ht="32.1" customHeight="1" x14ac:dyDescent="0.25">
      <c r="A16" s="25" t="s">
        <v>139</v>
      </c>
      <c r="B16" s="22" t="s">
        <v>140</v>
      </c>
      <c r="C16" s="22" t="s">
        <v>141</v>
      </c>
      <c r="D16" s="22" t="s">
        <v>142</v>
      </c>
    </row>
    <row r="17" spans="1:4" ht="32.1" customHeight="1" x14ac:dyDescent="0.25">
      <c r="A17" s="26" t="s">
        <v>143</v>
      </c>
      <c r="B17" s="23" t="s">
        <v>144</v>
      </c>
      <c r="C17" s="23" t="s">
        <v>102</v>
      </c>
      <c r="D17" s="23" t="s">
        <v>145</v>
      </c>
    </row>
    <row r="18" spans="1:4" ht="32.1" customHeight="1" x14ac:dyDescent="0.25">
      <c r="A18" s="25" t="s">
        <v>51</v>
      </c>
      <c r="B18" s="22" t="s">
        <v>146</v>
      </c>
      <c r="C18" s="22" t="s">
        <v>147</v>
      </c>
      <c r="D18" s="22" t="s">
        <v>148</v>
      </c>
    </row>
    <row r="19" spans="1:4" ht="32.1" customHeight="1" x14ac:dyDescent="0.25">
      <c r="A19" s="26" t="s">
        <v>149</v>
      </c>
      <c r="B19" s="23" t="s">
        <v>150</v>
      </c>
      <c r="C19" s="23" t="s">
        <v>151</v>
      </c>
      <c r="D19" s="23" t="s">
        <v>152</v>
      </c>
    </row>
    <row r="20" spans="1:4" ht="32.1" customHeight="1" x14ac:dyDescent="0.25">
      <c r="A20" s="25" t="s">
        <v>153</v>
      </c>
      <c r="B20" s="22" t="s">
        <v>154</v>
      </c>
      <c r="C20" s="22" t="s">
        <v>102</v>
      </c>
      <c r="D20" s="22" t="s">
        <v>155</v>
      </c>
    </row>
    <row r="21" spans="1:4" ht="32.1" customHeight="1" x14ac:dyDescent="0.25">
      <c r="A21" s="26" t="s">
        <v>156</v>
      </c>
      <c r="B21" s="23" t="s">
        <v>157</v>
      </c>
      <c r="C21" s="23" t="s">
        <v>158</v>
      </c>
      <c r="D21" s="23" t="s">
        <v>159</v>
      </c>
    </row>
    <row r="22" spans="1:4" ht="32.1" customHeight="1" x14ac:dyDescent="0.25">
      <c r="A22" s="25" t="s">
        <v>160</v>
      </c>
      <c r="B22" s="22" t="s">
        <v>101</v>
      </c>
      <c r="C22" s="22" t="s">
        <v>161</v>
      </c>
      <c r="D22" s="22" t="s">
        <v>162</v>
      </c>
    </row>
    <row r="23" spans="1:4" ht="32.1" customHeight="1" x14ac:dyDescent="0.25">
      <c r="A23" s="26" t="s">
        <v>163</v>
      </c>
      <c r="B23" s="23" t="s">
        <v>164</v>
      </c>
      <c r="C23" s="23" t="s">
        <v>102</v>
      </c>
      <c r="D23" s="23" t="s">
        <v>165</v>
      </c>
    </row>
    <row r="24" spans="1:4" ht="32.1" customHeight="1" x14ac:dyDescent="0.25">
      <c r="A24" s="25" t="s">
        <v>166</v>
      </c>
      <c r="B24" s="22" t="s">
        <v>167</v>
      </c>
      <c r="C24" s="22" t="s">
        <v>102</v>
      </c>
      <c r="D24" s="22" t="s">
        <v>168</v>
      </c>
    </row>
    <row r="25" spans="1:4" ht="32.1" customHeight="1" x14ac:dyDescent="0.25">
      <c r="A25" s="26" t="s">
        <v>169</v>
      </c>
      <c r="B25" s="23" t="s">
        <v>170</v>
      </c>
      <c r="C25" s="23" t="s">
        <v>102</v>
      </c>
      <c r="D25" s="23" t="s">
        <v>171</v>
      </c>
    </row>
    <row r="26" spans="1:4" ht="32.1" customHeight="1" x14ac:dyDescent="0.25">
      <c r="A26" s="25" t="s">
        <v>172</v>
      </c>
      <c r="B26" s="22" t="s">
        <v>173</v>
      </c>
      <c r="C26" s="22" t="s">
        <v>102</v>
      </c>
      <c r="D26" s="22" t="s">
        <v>174</v>
      </c>
    </row>
    <row r="27" spans="1:4" ht="32.1" customHeight="1" x14ac:dyDescent="0.25">
      <c r="A27" s="26" t="s">
        <v>175</v>
      </c>
      <c r="B27" s="23" t="s">
        <v>176</v>
      </c>
      <c r="C27" s="23" t="s">
        <v>102</v>
      </c>
      <c r="D27" s="23" t="s">
        <v>177</v>
      </c>
    </row>
    <row r="28" spans="1:4" ht="32.1" customHeight="1" x14ac:dyDescent="0.25">
      <c r="A28" s="25" t="s">
        <v>178</v>
      </c>
      <c r="B28" s="22" t="s">
        <v>179</v>
      </c>
      <c r="C28" s="22" t="s">
        <v>180</v>
      </c>
      <c r="D28" s="22" t="s">
        <v>181</v>
      </c>
    </row>
    <row r="29" spans="1:4" ht="32.1" customHeight="1" x14ac:dyDescent="0.25">
      <c r="A29" s="26" t="s">
        <v>182</v>
      </c>
      <c r="B29" s="23" t="s">
        <v>183</v>
      </c>
      <c r="C29" s="23" t="s">
        <v>184</v>
      </c>
      <c r="D29" s="23" t="s">
        <v>185</v>
      </c>
    </row>
    <row r="30" spans="1:4" ht="32.1" customHeight="1" x14ac:dyDescent="0.25">
      <c r="A30" s="25" t="s">
        <v>186</v>
      </c>
      <c r="B30" s="22" t="s">
        <v>187</v>
      </c>
      <c r="C30" s="22" t="s">
        <v>102</v>
      </c>
      <c r="D30" s="22" t="s">
        <v>188</v>
      </c>
    </row>
    <row r="31" spans="1:4" ht="32.1" customHeight="1" x14ac:dyDescent="0.25">
      <c r="A31" s="26" t="s">
        <v>189</v>
      </c>
      <c r="B31" s="23" t="s">
        <v>190</v>
      </c>
      <c r="C31" s="23" t="s">
        <v>191</v>
      </c>
      <c r="D31" s="23" t="s">
        <v>94</v>
      </c>
    </row>
    <row r="32" spans="1:4" ht="32.1" customHeight="1" x14ac:dyDescent="0.25">
      <c r="A32" s="25" t="s">
        <v>192</v>
      </c>
      <c r="B32" s="22" t="s">
        <v>193</v>
      </c>
      <c r="C32" s="22" t="s">
        <v>194</v>
      </c>
      <c r="D32" s="22" t="s">
        <v>195</v>
      </c>
    </row>
    <row r="33" spans="1:4" ht="32.1" customHeight="1" x14ac:dyDescent="0.25">
      <c r="A33" s="26" t="s">
        <v>196</v>
      </c>
      <c r="B33" s="23" t="s">
        <v>197</v>
      </c>
      <c r="C33" s="23" t="s">
        <v>198</v>
      </c>
      <c r="D33" s="23" t="s">
        <v>199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  <col min="3" max="3" width="45" customWidth="1"/>
  </cols>
  <sheetData>
    <row r="1" spans="1:3" ht="36" customHeight="1" x14ac:dyDescent="0.25">
      <c r="A1" s="34" t="s">
        <v>200</v>
      </c>
      <c r="B1" s="30"/>
      <c r="C1" s="30"/>
    </row>
    <row r="2" spans="1:3" ht="21.95" customHeight="1" x14ac:dyDescent="0.25">
      <c r="A2" s="35" t="s">
        <v>201</v>
      </c>
      <c r="B2" s="30"/>
      <c r="C2" s="30"/>
    </row>
    <row r="3" spans="1:3" ht="20.100000000000001" customHeight="1" x14ac:dyDescent="0.25">
      <c r="A3" s="12" t="s">
        <v>202</v>
      </c>
      <c r="B3" s="12" t="s">
        <v>203</v>
      </c>
      <c r="C3" s="12" t="s">
        <v>204</v>
      </c>
    </row>
    <row r="4" spans="1:3" ht="32.1" customHeight="1" x14ac:dyDescent="0.25">
      <c r="A4" s="27" t="s">
        <v>205</v>
      </c>
      <c r="B4" s="22" t="s">
        <v>206</v>
      </c>
      <c r="C4" s="22" t="s">
        <v>207</v>
      </c>
    </row>
    <row r="5" spans="1:3" ht="32.1" customHeight="1" x14ac:dyDescent="0.25">
      <c r="A5" s="28" t="s">
        <v>208</v>
      </c>
      <c r="B5" s="23" t="s">
        <v>209</v>
      </c>
      <c r="C5" s="23" t="s">
        <v>210</v>
      </c>
    </row>
    <row r="6" spans="1:3" ht="32.1" customHeight="1" x14ac:dyDescent="0.25">
      <c r="A6" s="27" t="s">
        <v>211</v>
      </c>
      <c r="B6" s="22" t="s">
        <v>212</v>
      </c>
      <c r="C6" s="22" t="s">
        <v>213</v>
      </c>
    </row>
    <row r="7" spans="1:3" ht="32.1" customHeight="1" x14ac:dyDescent="0.25">
      <c r="A7" s="28" t="s">
        <v>214</v>
      </c>
      <c r="B7" s="23" t="s">
        <v>215</v>
      </c>
      <c r="C7" s="23" t="s">
        <v>216</v>
      </c>
    </row>
    <row r="8" spans="1:3" ht="32.1" customHeight="1" x14ac:dyDescent="0.25">
      <c r="A8" s="27" t="s">
        <v>217</v>
      </c>
      <c r="B8" s="22" t="s">
        <v>218</v>
      </c>
      <c r="C8" s="22" t="s">
        <v>219</v>
      </c>
    </row>
    <row r="9" spans="1:3" ht="32.1" customHeight="1" x14ac:dyDescent="0.25">
      <c r="A9" s="28" t="s">
        <v>220</v>
      </c>
      <c r="B9" s="23" t="s">
        <v>221</v>
      </c>
      <c r="C9" s="23" t="s">
        <v>222</v>
      </c>
    </row>
    <row r="10" spans="1:3" ht="32.1" customHeight="1" x14ac:dyDescent="0.25">
      <c r="A10" s="27" t="s">
        <v>223</v>
      </c>
      <c r="B10" s="22" t="s">
        <v>224</v>
      </c>
      <c r="C10" s="22" t="s">
        <v>225</v>
      </c>
    </row>
    <row r="11" spans="1:3" ht="32.1" customHeight="1" x14ac:dyDescent="0.25">
      <c r="A11" s="28" t="s">
        <v>226</v>
      </c>
      <c r="B11" s="23" t="s">
        <v>227</v>
      </c>
      <c r="C11" s="23" t="s">
        <v>228</v>
      </c>
    </row>
    <row r="12" spans="1:3" ht="32.1" customHeight="1" x14ac:dyDescent="0.25">
      <c r="A12" s="27" t="s">
        <v>229</v>
      </c>
      <c r="B12" s="22" t="s">
        <v>230</v>
      </c>
      <c r="C12" s="22" t="s">
        <v>231</v>
      </c>
    </row>
    <row r="13" spans="1:3" ht="32.1" customHeight="1" x14ac:dyDescent="0.25">
      <c r="A13" s="28" t="s">
        <v>232</v>
      </c>
      <c r="B13" s="23" t="s">
        <v>233</v>
      </c>
      <c r="C13" s="23" t="s">
        <v>234</v>
      </c>
    </row>
    <row r="14" spans="1:3" ht="32.1" customHeight="1" x14ac:dyDescent="0.25">
      <c r="A14" s="27" t="s">
        <v>235</v>
      </c>
      <c r="B14" s="22" t="s">
        <v>236</v>
      </c>
      <c r="C14" s="22" t="s">
        <v>237</v>
      </c>
    </row>
    <row r="15" spans="1:3" ht="32.1" customHeight="1" x14ac:dyDescent="0.25">
      <c r="A15" s="28" t="s">
        <v>238</v>
      </c>
      <c r="B15" s="23" t="s">
        <v>239</v>
      </c>
      <c r="C15" s="23" t="s">
        <v>240</v>
      </c>
    </row>
    <row r="16" spans="1:3" ht="32.1" customHeight="1" x14ac:dyDescent="0.25">
      <c r="A16" s="27" t="s">
        <v>241</v>
      </c>
      <c r="B16" s="22" t="s">
        <v>227</v>
      </c>
      <c r="C16" s="22" t="s">
        <v>242</v>
      </c>
    </row>
    <row r="17" spans="1:3" ht="32.1" customHeight="1" x14ac:dyDescent="0.25">
      <c r="A17" s="28" t="s">
        <v>243</v>
      </c>
      <c r="B17" s="23" t="s">
        <v>227</v>
      </c>
      <c r="C17" s="23" t="s">
        <v>244</v>
      </c>
    </row>
    <row r="18" spans="1:3" ht="32.1" customHeight="1" x14ac:dyDescent="0.25">
      <c r="A18" s="27" t="s">
        <v>245</v>
      </c>
      <c r="B18" s="22" t="s">
        <v>227</v>
      </c>
      <c r="C18" s="22" t="s">
        <v>246</v>
      </c>
    </row>
    <row r="19" spans="1:3" ht="32.1" customHeight="1" x14ac:dyDescent="0.25">
      <c r="A19" s="28" t="s">
        <v>247</v>
      </c>
      <c r="B19" s="23" t="s">
        <v>227</v>
      </c>
      <c r="C19" s="23" t="s">
        <v>248</v>
      </c>
    </row>
    <row r="20" spans="1:3" ht="32.1" customHeight="1" x14ac:dyDescent="0.25">
      <c r="A20" s="27" t="s">
        <v>249</v>
      </c>
      <c r="B20" s="22" t="s">
        <v>227</v>
      </c>
      <c r="C20" s="22" t="s">
        <v>250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Доходы</vt:lpstr>
      <vt:lpstr>Расходы</vt:lpstr>
      <vt:lpstr>Сводная</vt:lpstr>
      <vt:lpstr>Справочник — Документы</vt:lpstr>
      <vt:lpstr>Разрешённые расходы УСН</vt:lpstr>
      <vt:lpstr>Запрещённые расходы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2026-05-03T10:09:35Z</dcterms:created>
  <dcterms:modified xsi:type="dcterms:W3CDTF">2026-05-03T14:29:19Z</dcterms:modified>
</cp:coreProperties>
</file>