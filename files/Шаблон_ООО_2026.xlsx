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4" autoFilterDateGrouping="1"/>
  </bookViews>
  <sheets>
    <sheet xmlns:r="http://schemas.openxmlformats.org/officeDocument/2006/relationships" name="Доходы" sheetId="1" state="visible" r:id="rId1"/>
    <sheet xmlns:r="http://schemas.openxmlformats.org/officeDocument/2006/relationships" name="Расходы" sheetId="2" state="visible" r:id="rId2"/>
    <sheet xmlns:r="http://schemas.openxmlformats.org/officeDocument/2006/relationships" name="Зарплата" sheetId="3" state="visible" r:id="rId3"/>
    <sheet xmlns:r="http://schemas.openxmlformats.org/officeDocument/2006/relationships" name="Сводная" sheetId="4" state="visible" r:id="rId4"/>
    <sheet xmlns:r="http://schemas.openxmlformats.org/officeDocument/2006/relationships" name="Справочник" sheetId="5" state="visible" r:id="rId5"/>
    <sheet xmlns:r="http://schemas.openxmlformats.org/officeDocument/2006/relationships" name="Разрешённые расходы УСН" sheetId="6" state="visible" r:id="rId6"/>
    <sheet xmlns:r="http://schemas.openxmlformats.org/officeDocument/2006/relationships" name="Запрещённые расходы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0E0CC"/>
      <sz val="11"/>
    </font>
    <font>
      <name val="Calibri"/>
      <b val="1"/>
      <sz val="11"/>
    </font>
    <font>
      <name val="Calibri"/>
      <b val="1"/>
      <sz val="11"/>
    </font>
    <font>
      <b val="1"/>
      <color rgb="00F0E0CC"/>
      <sz val="12"/>
    </font>
    <font>
      <b val="1"/>
      <color rgb="00F0E0CC"/>
      <sz val="10"/>
    </font>
    <font>
      <color rgb="00000000"/>
      <sz val="10"/>
    </font>
  </fonts>
  <fills count="7">
    <fill>
      <patternFill/>
    </fill>
    <fill>
      <patternFill patternType="gray125"/>
    </fill>
    <fill>
      <patternFill patternType="solid">
        <fgColor rgb="FF3C110F"/>
      </patternFill>
    </fill>
    <fill>
      <patternFill patternType="solid">
        <fgColor rgb="FFFAF3EC"/>
      </patternFill>
    </fill>
    <fill>
      <patternFill patternType="solid">
        <fgColor rgb="003C110F"/>
      </patternFill>
    </fill>
    <fill>
      <patternFill patternType="solid">
        <fgColor rgb="007D1713"/>
      </patternFill>
    </fill>
    <fill>
      <patternFill patternType="solid">
        <fgColor rgb="00FAF3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style="8" min="1" max="1"/>
    <col width="28" customWidth="1" style="8" min="2" max="2"/>
    <col width="20" customWidth="1" style="8" min="3" max="3"/>
    <col width="14" customWidth="1" style="8" min="4" max="4"/>
    <col width="22" customWidth="1" style="8" min="5" max="5"/>
    <col width="8" customWidth="1" style="8" min="6" max="6"/>
    <col width="18" customWidth="1" style="8" min="7" max="7"/>
  </cols>
  <sheetData>
    <row r="1" ht="20.1" customHeight="1" s="8">
      <c r="A1" s="1" t="inlineStr">
        <is>
          <t>Дата</t>
        </is>
      </c>
      <c r="B1" s="1" t="inlineStr">
        <is>
          <t>Описание</t>
        </is>
      </c>
      <c r="C1" s="1" t="inlineStr">
        <is>
          <t>Контрагент</t>
        </is>
      </c>
      <c r="D1" s="1" t="inlineStr">
        <is>
          <t>Сумма, ₽</t>
        </is>
      </c>
      <c r="E1" s="1" t="inlineStr">
        <is>
          <t>Вид дохода</t>
        </is>
      </c>
      <c r="F1" s="1" t="inlineStr">
        <is>
          <t>НДС</t>
        </is>
      </c>
      <c r="G1" s="1" t="inlineStr">
        <is>
          <t>Документ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</sheetData>
  <dataValidations count="2">
    <dataValidation sqref="E2:E51" showDropDown="0" showInputMessage="0" showErrorMessage="0" allowBlank="0" type="list">
      <formula1>"Выручка от продаж,Прочие доходы,Внереализационные"</formula1>
    </dataValidation>
    <dataValidation sqref="F2:F51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style="8" min="1" max="1"/>
    <col width="28" customWidth="1" style="8" min="2" max="2"/>
    <col width="20" customWidth="1" style="8" min="3" max="3"/>
    <col width="14" customWidth="1" style="8" min="4" max="4"/>
    <col width="18" customWidth="1" style="8" min="5" max="5"/>
    <col width="10" customWidth="1" style="8" min="6" max="6"/>
    <col width="18" customWidth="1" style="8" min="7" max="7"/>
    <col width="16" customWidth="1" style="8" min="8" max="8"/>
  </cols>
  <sheetData>
    <row r="1" ht="20.1" customHeight="1" s="8">
      <c r="A1" s="1" t="inlineStr">
        <is>
          <t>Дата</t>
        </is>
      </c>
      <c r="B1" s="1" t="inlineStr">
        <is>
          <t>Описание</t>
        </is>
      </c>
      <c r="C1" s="1" t="inlineStr">
        <is>
          <t>Контрагент</t>
        </is>
      </c>
      <c r="D1" s="1" t="inlineStr">
        <is>
          <t>Сумма, ₽</t>
        </is>
      </c>
      <c r="E1" s="1" t="inlineStr">
        <is>
          <t>Категория</t>
        </is>
      </c>
      <c r="F1" s="1" t="inlineStr">
        <is>
          <t>НДС вх.</t>
        </is>
      </c>
      <c r="G1" s="1" t="inlineStr">
        <is>
          <t>Документ</t>
        </is>
      </c>
      <c r="H1" s="1" t="inlineStr">
        <is>
          <t>Принять в расход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</sheetData>
  <dataValidations count="3">
    <dataValidation sqref="E2:E51" showDropDown="0" showInputMessage="0" showErrorMessage="0" allowBlank="0" type="list">
      <formula1>"Аренда,Зарплата,Материалы,Реклама,Транспорт,Связь,Услуги,Прочее"</formula1>
    </dataValidation>
    <dataValidation sqref="G2:G51" showDropDown="0" showInputMessage="0" showErrorMessage="0" allowBlank="0" type="list">
      <formula1>"Акт,Накладная,Чек,Договор"</formula1>
    </dataValidation>
    <dataValidation sqref="H2:H51" showDropDown="0" showInputMessage="0" showErrorMessage="0" allowBlank="0" type="list">
      <formula1>"Да,Нет,Частично"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4" customWidth="1" style="8" min="1" max="1"/>
    <col width="20" customWidth="1" style="8" min="2" max="2"/>
    <col width="14" customWidth="1" style="8" min="3" max="3"/>
    <col width="12" customWidth="1" style="8" min="4" max="5"/>
    <col width="14" customWidth="1" style="8" min="6" max="6"/>
    <col width="12" customWidth="1" style="8" min="7" max="7"/>
  </cols>
  <sheetData>
    <row r="1" ht="20.1" customHeight="1" s="8">
      <c r="A1" s="1" t="inlineStr">
        <is>
          <t>ФИО</t>
        </is>
      </c>
      <c r="B1" s="1" t="inlineStr">
        <is>
          <t>Должность</t>
        </is>
      </c>
      <c r="C1" s="1" t="inlineStr">
        <is>
          <t>Оклад, ₽</t>
        </is>
      </c>
      <c r="D1" s="1" t="inlineStr">
        <is>
          <t>НДФЛ 13%</t>
        </is>
      </c>
      <c r="E1" s="1" t="inlineStr">
        <is>
          <t>Взносы 30%</t>
        </is>
      </c>
      <c r="F1" s="1" t="inlineStr">
        <is>
          <t>На руки, ₽</t>
        </is>
      </c>
      <c r="G1" s="1" t="inlineStr">
        <is>
          <t>Месяц</t>
        </is>
      </c>
    </row>
    <row r="2">
      <c r="A2" s="2" t="n"/>
      <c r="B2" s="2" t="n"/>
      <c r="C2" s="2" t="n"/>
      <c r="D2" s="2">
        <f>C2*0.13</f>
        <v/>
      </c>
      <c r="E2" s="2">
        <f>C2*0.3</f>
        <v/>
      </c>
      <c r="F2" s="2">
        <f>C2-D2</f>
        <v/>
      </c>
      <c r="G2" s="2" t="n"/>
    </row>
    <row r="3">
      <c r="A3" s="3" t="n"/>
      <c r="B3" s="3" t="n"/>
      <c r="C3" s="3" t="n"/>
      <c r="D3" s="3">
        <f>C3*0.13</f>
        <v/>
      </c>
      <c r="E3" s="3">
        <f>C3*0.3</f>
        <v/>
      </c>
      <c r="F3" s="3">
        <f>C3-D3</f>
        <v/>
      </c>
      <c r="G3" s="3" t="n"/>
    </row>
    <row r="4">
      <c r="A4" s="2" t="n"/>
      <c r="B4" s="2" t="n"/>
      <c r="C4" s="2" t="n"/>
      <c r="D4" s="2">
        <f>C4*0.13</f>
        <v/>
      </c>
      <c r="E4" s="2">
        <f>C4*0.3</f>
        <v/>
      </c>
      <c r="F4" s="2">
        <f>C4-D4</f>
        <v/>
      </c>
      <c r="G4" s="2" t="n"/>
    </row>
    <row r="5">
      <c r="A5" s="3" t="n"/>
      <c r="B5" s="3" t="n"/>
      <c r="C5" s="3" t="n"/>
      <c r="D5" s="3">
        <f>C5*0.13</f>
        <v/>
      </c>
      <c r="E5" s="3">
        <f>C5*0.3</f>
        <v/>
      </c>
      <c r="F5" s="3">
        <f>C5-D5</f>
        <v/>
      </c>
      <c r="G5" s="3" t="n"/>
    </row>
    <row r="6">
      <c r="A6" s="2" t="n"/>
      <c r="B6" s="2" t="n"/>
      <c r="C6" s="2" t="n"/>
      <c r="D6" s="2">
        <f>C6*0.13</f>
        <v/>
      </c>
      <c r="E6" s="2">
        <f>C6*0.3</f>
        <v/>
      </c>
      <c r="F6" s="2">
        <f>C6-D6</f>
        <v/>
      </c>
      <c r="G6" s="2" t="n"/>
    </row>
    <row r="7">
      <c r="A7" s="3" t="n"/>
      <c r="B7" s="3" t="n"/>
      <c r="C7" s="3" t="n"/>
      <c r="D7" s="3">
        <f>C7*0.13</f>
        <v/>
      </c>
      <c r="E7" s="3">
        <f>C7*0.3</f>
        <v/>
      </c>
      <c r="F7" s="3">
        <f>C7-D7</f>
        <v/>
      </c>
      <c r="G7" s="3" t="n"/>
    </row>
    <row r="8">
      <c r="A8" s="2" t="n"/>
      <c r="B8" s="2" t="n"/>
      <c r="C8" s="2" t="n"/>
      <c r="D8" s="2">
        <f>C8*0.13</f>
        <v/>
      </c>
      <c r="E8" s="2">
        <f>C8*0.3</f>
        <v/>
      </c>
      <c r="F8" s="2">
        <f>C8-D8</f>
        <v/>
      </c>
      <c r="G8" s="2" t="n"/>
    </row>
    <row r="9">
      <c r="A9" s="3" t="n"/>
      <c r="B9" s="3" t="n"/>
      <c r="C9" s="3" t="n"/>
      <c r="D9" s="3">
        <f>C9*0.13</f>
        <v/>
      </c>
      <c r="E9" s="3">
        <f>C9*0.3</f>
        <v/>
      </c>
      <c r="F9" s="3">
        <f>C9-D9</f>
        <v/>
      </c>
      <c r="G9" s="3" t="n"/>
    </row>
    <row r="10">
      <c r="A10" s="2" t="n"/>
      <c r="B10" s="2" t="n"/>
      <c r="C10" s="2" t="n"/>
      <c r="D10" s="2">
        <f>C10*0.13</f>
        <v/>
      </c>
      <c r="E10" s="2">
        <f>C10*0.3</f>
        <v/>
      </c>
      <c r="F10" s="2">
        <f>C10-D10</f>
        <v/>
      </c>
      <c r="G10" s="2" t="n"/>
    </row>
    <row r="11">
      <c r="A11" s="3" t="n"/>
      <c r="B11" s="3" t="n"/>
      <c r="C11" s="3" t="n"/>
      <c r="D11" s="3">
        <f>C11*0.13</f>
        <v/>
      </c>
      <c r="E11" s="3">
        <f>C11*0.3</f>
        <v/>
      </c>
      <c r="F11" s="3">
        <f>C11-D11</f>
        <v/>
      </c>
      <c r="G11" s="3" t="n"/>
    </row>
    <row r="12">
      <c r="A12" s="2" t="n"/>
      <c r="B12" s="2" t="n"/>
      <c r="C12" s="2" t="n"/>
      <c r="D12" s="2">
        <f>C12*0.13</f>
        <v/>
      </c>
      <c r="E12" s="2">
        <f>C12*0.3</f>
        <v/>
      </c>
      <c r="F12" s="2">
        <f>C12-D12</f>
        <v/>
      </c>
      <c r="G12" s="2" t="n"/>
    </row>
    <row r="13">
      <c r="A13" s="3" t="n"/>
      <c r="B13" s="3" t="n"/>
      <c r="C13" s="3" t="n"/>
      <c r="D13" s="3">
        <f>C13*0.13</f>
        <v/>
      </c>
      <c r="E13" s="3">
        <f>C13*0.3</f>
        <v/>
      </c>
      <c r="F13" s="3">
        <f>C13-D13</f>
        <v/>
      </c>
      <c r="G13" s="3" t="n"/>
    </row>
    <row r="14">
      <c r="A14" s="2" t="n"/>
      <c r="B14" s="2" t="n"/>
      <c r="C14" s="2" t="n"/>
      <c r="D14" s="2">
        <f>C14*0.13</f>
        <v/>
      </c>
      <c r="E14" s="2">
        <f>C14*0.3</f>
        <v/>
      </c>
      <c r="F14" s="2">
        <f>C14-D14</f>
        <v/>
      </c>
      <c r="G14" s="2" t="n"/>
    </row>
    <row r="15">
      <c r="A15" s="3" t="n"/>
      <c r="B15" s="3" t="n"/>
      <c r="C15" s="3" t="n"/>
      <c r="D15" s="3">
        <f>C15*0.13</f>
        <v/>
      </c>
      <c r="E15" s="3">
        <f>C15*0.3</f>
        <v/>
      </c>
      <c r="F15" s="3">
        <f>C15-D15</f>
        <v/>
      </c>
      <c r="G15" s="3" t="n"/>
    </row>
    <row r="16">
      <c r="A16" s="2" t="n"/>
      <c r="B16" s="2" t="n"/>
      <c r="C16" s="2" t="n"/>
      <c r="D16" s="2">
        <f>C16*0.13</f>
        <v/>
      </c>
      <c r="E16" s="2">
        <f>C16*0.3</f>
        <v/>
      </c>
      <c r="F16" s="2">
        <f>C16-D16</f>
        <v/>
      </c>
      <c r="G16" s="2" t="n"/>
    </row>
    <row r="17">
      <c r="A17" s="3" t="n"/>
      <c r="B17" s="3" t="n"/>
      <c r="C17" s="3" t="n"/>
      <c r="D17" s="3">
        <f>C17*0.13</f>
        <v/>
      </c>
      <c r="E17" s="3">
        <f>C17*0.3</f>
        <v/>
      </c>
      <c r="F17" s="3">
        <f>C17-D17</f>
        <v/>
      </c>
      <c r="G17" s="3" t="n"/>
    </row>
    <row r="18">
      <c r="A18" s="2" t="n"/>
      <c r="B18" s="2" t="n"/>
      <c r="C18" s="2" t="n"/>
      <c r="D18" s="2">
        <f>C18*0.13</f>
        <v/>
      </c>
      <c r="E18" s="2">
        <f>C18*0.3</f>
        <v/>
      </c>
      <c r="F18" s="2">
        <f>C18-D18</f>
        <v/>
      </c>
      <c r="G18" s="2" t="n"/>
    </row>
    <row r="19">
      <c r="A19" s="3" t="n"/>
      <c r="B19" s="3" t="n"/>
      <c r="C19" s="3" t="n"/>
      <c r="D19" s="3">
        <f>C19*0.13</f>
        <v/>
      </c>
      <c r="E19" s="3">
        <f>C19*0.3</f>
        <v/>
      </c>
      <c r="F19" s="3">
        <f>C19-D19</f>
        <v/>
      </c>
      <c r="G19" s="3" t="n"/>
    </row>
    <row r="20">
      <c r="A20" s="2" t="n"/>
      <c r="B20" s="2" t="n"/>
      <c r="C20" s="2" t="n"/>
      <c r="D20" s="2">
        <f>C20*0.13</f>
        <v/>
      </c>
      <c r="E20" s="2">
        <f>C20*0.3</f>
        <v/>
      </c>
      <c r="F20" s="2">
        <f>C20-D20</f>
        <v/>
      </c>
      <c r="G20" s="2" t="n"/>
    </row>
    <row r="21">
      <c r="A21" s="3" t="n"/>
      <c r="B21" s="3" t="n"/>
      <c r="C21" s="3" t="n"/>
      <c r="D21" s="3">
        <f>C21*0.13</f>
        <v/>
      </c>
      <c r="E21" s="3">
        <f>C21*0.3</f>
        <v/>
      </c>
      <c r="F21" s="3">
        <f>C21-D21</f>
        <v/>
      </c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2" customWidth="1" style="8" min="1" max="1"/>
    <col width="13" customWidth="1" style="8" min="2" max="13"/>
  </cols>
  <sheetData>
    <row r="1">
      <c r="B1" s="4" t="inlineStr">
        <is>
          <t>Январь</t>
        </is>
      </c>
      <c r="C1" s="4" t="inlineStr">
        <is>
          <t>Февраль</t>
        </is>
      </c>
      <c r="D1" s="4" t="inlineStr">
        <is>
          <t>Март</t>
        </is>
      </c>
      <c r="E1" s="4" t="inlineStr">
        <is>
          <t>Апрель</t>
        </is>
      </c>
      <c r="F1" s="4" t="inlineStr">
        <is>
          <t>Май</t>
        </is>
      </c>
      <c r="G1" s="4" t="inlineStr">
        <is>
          <t>Июнь</t>
        </is>
      </c>
      <c r="H1" s="4" t="inlineStr">
        <is>
          <t>Июль</t>
        </is>
      </c>
      <c r="I1" s="4" t="inlineStr">
        <is>
          <t>Август</t>
        </is>
      </c>
      <c r="J1" s="4" t="inlineStr">
        <is>
          <t>Сентябрь</t>
        </is>
      </c>
      <c r="K1" s="4" t="inlineStr">
        <is>
          <t>Октябрь</t>
        </is>
      </c>
      <c r="L1" s="4" t="inlineStr">
        <is>
          <t>Ноябрь</t>
        </is>
      </c>
      <c r="M1" s="4" t="inlineStr">
        <is>
          <t>Декабрь</t>
        </is>
      </c>
    </row>
    <row r="2" ht="18" customHeight="1" s="8">
      <c r="A2" s="5" t="inlineStr">
        <is>
          <t>Доходы, ₽</t>
        </is>
      </c>
    </row>
    <row r="3" ht="18" customHeight="1" s="8">
      <c r="A3" s="5" t="inlineStr">
        <is>
          <t>Расходы, ₽</t>
        </is>
      </c>
    </row>
    <row r="4" ht="18" customHeight="1" s="8">
      <c r="A4" s="5" t="inlineStr">
        <is>
          <t>Прибыль, ₽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</row>
    <row r="5" ht="18" customHeight="1" s="8">
      <c r="A5" s="5" t="inlineStr">
        <is>
          <t>Налог УСН (15%), ₽</t>
        </is>
      </c>
      <c r="B5">
        <f>B4*0.15</f>
        <v/>
      </c>
      <c r="C5">
        <f>C4*0.15</f>
        <v/>
      </c>
      <c r="D5">
        <f>D4*0.15</f>
        <v/>
      </c>
      <c r="E5">
        <f>E4*0.15</f>
        <v/>
      </c>
      <c r="F5">
        <f>F4*0.15</f>
        <v/>
      </c>
      <c r="G5">
        <f>G4*0.15</f>
        <v/>
      </c>
      <c r="H5">
        <f>H4*0.15</f>
        <v/>
      </c>
      <c r="I5">
        <f>I4*0.15</f>
        <v/>
      </c>
      <c r="J5">
        <f>J4*0.15</f>
        <v/>
      </c>
      <c r="K5">
        <f>K4*0.15</f>
        <v/>
      </c>
      <c r="L5">
        <f>L4*0.15</f>
        <v/>
      </c>
      <c r="M5">
        <f>M4*0.15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:B1"/>
    </sheetView>
  </sheetViews>
  <sheetFormatPr baseColWidth="8" defaultRowHeight="15"/>
  <cols>
    <col width="35" customWidth="1" style="8" min="1" max="1"/>
    <col width="12" customWidth="1" style="8" min="2" max="2"/>
  </cols>
  <sheetData>
    <row r="1">
      <c r="A1" s="7" t="inlineStr">
        <is>
          <t>Расходы для ООО УСН «Доходы−Расходы»</t>
        </is>
      </c>
    </row>
    <row r="2">
      <c r="A2" s="6" t="inlineStr">
        <is>
          <t>Вид расхода</t>
        </is>
      </c>
      <c r="B2" s="6" t="inlineStr">
        <is>
          <t>Принять</t>
        </is>
      </c>
    </row>
    <row r="3">
      <c r="A3" s="3" t="inlineStr">
        <is>
          <t>Аренда офиса, склада, оборудования</t>
        </is>
      </c>
      <c r="B3" s="3" t="inlineStr">
        <is>
          <t>✓</t>
        </is>
      </c>
    </row>
    <row r="4">
      <c r="A4" s="3" t="inlineStr">
        <is>
          <t>Зарплата и страховые взносы</t>
        </is>
      </c>
      <c r="B4" s="3" t="inlineStr">
        <is>
          <t>✓</t>
        </is>
      </c>
    </row>
    <row r="5">
      <c r="A5" s="3" t="inlineStr">
        <is>
          <t>Материалы и сырьё</t>
        </is>
      </c>
      <c r="B5" s="3" t="inlineStr">
        <is>
          <t>✓</t>
        </is>
      </c>
    </row>
    <row r="6">
      <c r="A6" s="3" t="inlineStr">
        <is>
          <t>Товары для перепродажи</t>
        </is>
      </c>
      <c r="B6" s="3" t="inlineStr">
        <is>
          <t>✓</t>
        </is>
      </c>
    </row>
    <row r="7">
      <c r="A7" s="3" t="inlineStr">
        <is>
          <t>Реклама и маркетинг</t>
        </is>
      </c>
      <c r="B7" s="3" t="inlineStr">
        <is>
          <t>✓</t>
        </is>
      </c>
    </row>
    <row r="8">
      <c r="A8" s="3" t="inlineStr">
        <is>
          <t>Связь и интернет</t>
        </is>
      </c>
      <c r="B8" s="3" t="inlineStr">
        <is>
          <t>✓</t>
        </is>
      </c>
    </row>
    <row r="9">
      <c r="A9" s="3" t="inlineStr">
        <is>
          <t>ПО и лицензии</t>
        </is>
      </c>
      <c r="B9" s="3" t="inlineStr">
        <is>
          <t>✓</t>
        </is>
      </c>
    </row>
    <row r="10">
      <c r="A10" s="3" t="inlineStr">
        <is>
          <t>Командировки</t>
        </is>
      </c>
      <c r="B10" s="3" t="inlineStr">
        <is>
          <t>✓</t>
        </is>
      </c>
    </row>
    <row r="11">
      <c r="A11" s="3" t="inlineStr">
        <is>
          <t>Страхование имущества</t>
        </is>
      </c>
      <c r="B11" s="3" t="inlineStr">
        <is>
          <t>✓</t>
        </is>
      </c>
    </row>
    <row r="12">
      <c r="A12" s="3" t="inlineStr">
        <is>
          <t>Бухгалтерские и юр. услуги</t>
        </is>
      </c>
      <c r="B12" s="3" t="inlineStr">
        <is>
          <t>✓</t>
        </is>
      </c>
    </row>
    <row r="13">
      <c r="A13" s="3" t="inlineStr">
        <is>
          <t>Представительские расходы (до 4% ФОТ)</t>
        </is>
      </c>
      <c r="B13" s="3" t="inlineStr">
        <is>
          <t>✓ (лимит)</t>
        </is>
      </c>
    </row>
    <row r="14">
      <c r="A14" s="3" t="inlineStr">
        <is>
          <t>Штрафы и пени в бюджет</t>
        </is>
      </c>
      <c r="B14" s="3" t="inlineStr">
        <is>
          <t>✗</t>
        </is>
      </c>
    </row>
    <row r="15">
      <c r="A15" s="3" t="inlineStr">
        <is>
          <t>Дивиденды учредителям</t>
        </is>
      </c>
      <c r="B15" s="3" t="inlineStr">
        <is>
          <t>✗</t>
        </is>
      </c>
    </row>
    <row r="16">
      <c r="A16" s="3" t="inlineStr">
        <is>
          <t>Личные расходы директора</t>
        </is>
      </c>
      <c r="B16" s="3" t="inlineStr">
        <is>
          <t>✗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style="8" min="1" max="1"/>
    <col width="22" customWidth="1" style="8" min="2" max="2"/>
    <col width="28" customWidth="1" style="8" min="3" max="3"/>
    <col width="38" customWidth="1" style="8" min="4" max="4"/>
  </cols>
  <sheetData>
    <row r="1" ht="28" customHeight="1" s="8">
      <c r="A1" s="9" t="inlineStr">
        <is>
          <t>РАЗРЕШЁННЫЕ РАСХОДЫ при УСН «Доходы−Расходы» для ООО — 2026</t>
        </is>
      </c>
    </row>
    <row r="2" ht="22" customHeight="1" s="8">
      <c r="A2" s="10" t="inlineStr">
        <is>
          <t>Перечень ОТКРЫТЫЙ с 01.01.2026 (пп.45 п.1 ст.346.16 НК РФ) — принимаются все расходы гл.25 НК, кроме ст.270 НК РФ</t>
        </is>
      </c>
    </row>
    <row r="3" ht="18" customHeight="1" s="8">
      <c r="A3" s="11" t="inlineStr">
        <is>
          <t>Вид расхода</t>
        </is>
      </c>
      <c r="B3" s="11" t="inlineStr">
        <is>
          <t>Статья НК РФ (гл.25)</t>
        </is>
      </c>
      <c r="C3" s="11" t="inlineStr">
        <is>
          <t>Лимит / условие</t>
        </is>
      </c>
      <c r="D3" s="11" t="inlineStr">
        <is>
          <t>Обязательные документы</t>
        </is>
      </c>
    </row>
    <row r="4" ht="28" customHeight="1" s="8">
      <c r="A4" s="12" t="inlineStr">
        <is>
          <t>Аренда имущества (офис, склад, оборудование, транспорт)</t>
        </is>
      </c>
      <c r="B4" s="12" t="inlineStr">
        <is>
          <t>ст.264 пп.10</t>
        </is>
      </c>
      <c r="C4" s="12" t="inlineStr">
        <is>
          <t>Без лимита</t>
        </is>
      </c>
      <c r="D4" s="12" t="inlineStr">
        <is>
          <t>Договор, ежемесячный акт, платёжное поручение</t>
        </is>
      </c>
    </row>
    <row r="5" ht="28" customHeight="1" s="8">
      <c r="A5" s="13" t="inlineStr">
        <is>
          <t>Коммунальные услуги в арендуемом помещении</t>
        </is>
      </c>
      <c r="B5" s="13" t="inlineStr">
        <is>
          <t>ст.264</t>
        </is>
      </c>
      <c r="C5" s="13" t="inlineStr">
        <is>
          <t>Без лимита</t>
        </is>
      </c>
      <c r="D5" s="13" t="inlineStr">
        <is>
          <t>Счёт/акт от арендодателя или ресурсоснабжающей орг.</t>
        </is>
      </c>
    </row>
    <row r="6" ht="28" customHeight="1" s="8">
      <c r="A6" s="12" t="inlineStr">
        <is>
          <t>Зарплата директора (МРОТ = 22 440 руб./мес. min)</t>
        </is>
      </c>
      <c r="B6" s="12" t="inlineStr">
        <is>
          <t>ст.255</t>
        </is>
      </c>
      <c r="C6" s="12" t="inlineStr">
        <is>
          <t>Не ниже МРОТ — обязательна по ТК РФ</t>
        </is>
      </c>
      <c r="D6" s="12" t="inlineStr">
        <is>
          <t>Трудовой договор, расчётный лист, платёжная ведомость</t>
        </is>
      </c>
    </row>
    <row r="7" ht="28" customHeight="1" s="8">
      <c r="A7" s="13" t="inlineStr">
        <is>
          <t>Оплата труда сотрудников: оклад, надбавки, премии</t>
        </is>
      </c>
      <c r="B7" s="13" t="inlineStr">
        <is>
          <t>ст.255</t>
        </is>
      </c>
      <c r="C7" s="13" t="inlineStr">
        <is>
          <t>Без лимита (премии — по трудовому договору)</t>
        </is>
      </c>
      <c r="D7" s="13" t="inlineStr">
        <is>
          <t>Трудовой договор, расчётный лист, платёжная ведомость</t>
        </is>
      </c>
    </row>
    <row r="8" ht="28" customHeight="1" s="8">
      <c r="A8" s="12" t="inlineStr">
        <is>
          <t>Отпускные и компенсация за неиспользованный отпуск</t>
        </is>
      </c>
      <c r="B8" s="12" t="inlineStr">
        <is>
          <t>ст.255</t>
        </is>
      </c>
      <c r="C8" s="12" t="inlineStr">
        <is>
          <t>Без лимита</t>
        </is>
      </c>
      <c r="D8" s="12" t="inlineStr">
        <is>
          <t>Приказ о предоставлении отпуска, расчётный лист</t>
        </is>
      </c>
    </row>
    <row r="9" ht="28" customHeight="1" s="8">
      <c r="A9" s="13" t="inlineStr">
        <is>
          <t>Первые 3 дня больничного (за счёт работодателя)</t>
        </is>
      </c>
      <c r="B9" s="13" t="inlineStr">
        <is>
          <t>ст.255</t>
        </is>
      </c>
      <c r="C9" s="13" t="inlineStr">
        <is>
          <t>Без лимита</t>
        </is>
      </c>
      <c r="D9" s="13" t="inlineStr">
        <is>
          <t>Листок нетрудоспособности, расчёт</t>
        </is>
      </c>
    </row>
    <row r="10" ht="28" customHeight="1" s="8">
      <c r="A10" s="12" t="inlineStr">
        <is>
          <t>Страховые взносы за сотрудников (ОПС, ОМС, ВНиМ, НС и ПЗ)</t>
        </is>
      </c>
      <c r="B10" s="12" t="inlineStr">
        <is>
          <t>ст.264 пп.1</t>
        </is>
      </c>
      <c r="C10" s="12" t="inlineStr">
        <is>
          <t>Без лимита (по тарифам НК РФ)</t>
        </is>
      </c>
      <c r="D10" s="12" t="inlineStr">
        <is>
          <t>РСВ, платёжные поручения через ЕНС</t>
        </is>
      </c>
    </row>
    <row r="11" ht="28" customHeight="1" s="8">
      <c r="A11" s="13" t="inlineStr">
        <is>
          <t>ГСМ и транспортные расходы</t>
        </is>
      </c>
      <c r="B11" s="13" t="inlineStr">
        <is>
          <t>ст.264 пп.11</t>
        </is>
      </c>
      <c r="C11" s="13" t="inlineStr">
        <is>
          <t>По нормам Минтранса (Распоряжение №АМ-23-р)</t>
        </is>
      </c>
      <c r="D11" s="13" t="inlineStr">
        <is>
          <t>Путевой лист, кассовый чек АЗС</t>
        </is>
      </c>
    </row>
    <row r="12" ht="28" customHeight="1" s="8">
      <c r="A12" s="12" t="inlineStr">
        <is>
          <t>Ремонт и техобслуживание основных средств</t>
        </is>
      </c>
      <c r="B12" s="12" t="inlineStr">
        <is>
          <t>ст.260</t>
        </is>
      </c>
      <c r="C12" s="12" t="inlineStr">
        <is>
          <t>Без лимита</t>
        </is>
      </c>
      <c r="D12" s="12" t="inlineStr">
        <is>
          <t>Договор, акт, заказ-наряд</t>
        </is>
      </c>
    </row>
    <row r="13" ht="28" customHeight="1" s="8">
      <c r="A13" s="13" t="inlineStr">
        <is>
          <t>Командировочные расходы</t>
        </is>
      </c>
      <c r="B13" s="13" t="inlineStr">
        <is>
          <t>ст.264 пп.12</t>
        </is>
      </c>
      <c r="C13" s="13" t="inlineStr">
        <is>
          <t>Суточные РФ: 700 р./день без НДФЛ; загранком.: 2 500 р.</t>
        </is>
      </c>
      <c r="D13" s="13" t="inlineStr">
        <is>
          <t>Приказ, билеты, гостиница, авансовый отчёт</t>
        </is>
      </c>
    </row>
    <row r="14" ht="28" customHeight="1" s="8">
      <c r="A14" s="12" t="inlineStr">
        <is>
          <t>Реклама в СМИ, интернете, наружная, в местах продаж</t>
        </is>
      </c>
      <c r="B14" s="12" t="inlineStr">
        <is>
          <t>ст.264 пп.28</t>
        </is>
      </c>
      <c r="C14" s="12" t="inlineStr">
        <is>
          <t>Без лимита</t>
        </is>
      </c>
      <c r="D14" s="12" t="inlineStr">
        <is>
          <t>Договор с площадкой, акт, отчёт об исполнении</t>
        </is>
      </c>
    </row>
    <row r="15" ht="28" customHeight="1" s="8">
      <c r="A15" s="13" t="inlineStr">
        <is>
          <t>Реклама с призами, конкурсами, лотереями</t>
        </is>
      </c>
      <c r="B15" s="13" t="inlineStr">
        <is>
          <t>ст.264 п.4</t>
        </is>
      </c>
      <c r="C15" s="13" t="inlineStr">
        <is>
          <t>До 1% от выручки за период</t>
        </is>
      </c>
      <c r="D15" s="13" t="inlineStr">
        <is>
          <t>Договор, акт, документы о призах</t>
        </is>
      </c>
    </row>
    <row r="16" ht="28" customHeight="1" s="8">
      <c r="A16" s="12" t="inlineStr">
        <is>
          <t>Представительские расходы</t>
        </is>
      </c>
      <c r="B16" s="12" t="inlineStr">
        <is>
          <t>ст.264 п.2</t>
        </is>
      </c>
      <c r="C16" s="12" t="inlineStr">
        <is>
          <t>До 4% от ФОТ за период</t>
        </is>
      </c>
      <c r="D16" s="12" t="inlineStr">
        <is>
          <t>Приказ о мероприятии, список участников, смета, акт, чеки</t>
        </is>
      </c>
    </row>
    <row r="17" ht="28" customHeight="1" s="8">
      <c r="A17" s="13" t="inlineStr">
        <is>
          <t>Материальные расходы (сырьё, материалы, упаковка)</t>
        </is>
      </c>
      <c r="B17" s="13" t="inlineStr">
        <is>
          <t>ст.254</t>
        </is>
      </c>
      <c r="C17" s="13" t="inlineStr">
        <is>
          <t>Без лимита</t>
        </is>
      </c>
      <c r="D17" s="13" t="inlineStr">
        <is>
          <t>Накладная/УПД, платёжный документ</t>
        </is>
      </c>
    </row>
    <row r="18" ht="28" customHeight="1" s="8">
      <c r="A18" s="12" t="inlineStr">
        <is>
          <t>Товары для перепродажи</t>
        </is>
      </c>
      <c r="B18" s="12" t="inlineStr">
        <is>
          <t>ст.346.16 пп.23</t>
        </is>
      </c>
      <c r="C18" s="12" t="inlineStr">
        <is>
          <t>Только после реализации покупателю</t>
        </is>
      </c>
      <c r="D18" s="12" t="inlineStr">
        <is>
          <t>Накладная/УПД, документ об оплате поставщику</t>
        </is>
      </c>
    </row>
    <row r="19" ht="28" customHeight="1" s="8">
      <c r="A19" s="13" t="inlineStr">
        <is>
          <t>Страхование имущества (ОСАГО, КАСКО, имущество)</t>
        </is>
      </c>
      <c r="B19" s="13" t="inlineStr">
        <is>
          <t>ст.263</t>
        </is>
      </c>
      <c r="C19" s="13" t="inlineStr">
        <is>
          <t>По видам из ст.263 НК РФ</t>
        </is>
      </c>
      <c r="D19" s="13" t="inlineStr">
        <is>
          <t>Договор/полис, платёжный документ</t>
        </is>
      </c>
    </row>
    <row r="20" ht="28" customHeight="1" s="8">
      <c r="A20" s="12" t="inlineStr">
        <is>
          <t>Банковские расходы (комиссии, РКО)</t>
        </is>
      </c>
      <c r="B20" s="12" t="inlineStr">
        <is>
          <t>ст.265 пп.15</t>
        </is>
      </c>
      <c r="C20" s="12" t="inlineStr">
        <is>
          <t>Без лимита</t>
        </is>
      </c>
      <c r="D20" s="12" t="inlineStr">
        <is>
          <t>Банковская выписка</t>
        </is>
      </c>
    </row>
    <row r="21" ht="28" customHeight="1" s="8">
      <c r="A21" s="13" t="inlineStr">
        <is>
          <t>Проценты по кредитам и займам (для бизнеса)</t>
        </is>
      </c>
      <c r="B21" s="13" t="inlineStr">
        <is>
          <t>ст.265 пп.2</t>
        </is>
      </c>
      <c r="C21" s="13" t="inlineStr">
        <is>
          <t>По рыночной ставке (ст.269 НК РФ)</t>
        </is>
      </c>
      <c r="D21" s="13" t="inlineStr">
        <is>
          <t>Кредитный договор, банковская выписка</t>
        </is>
      </c>
    </row>
    <row r="22" ht="28" customHeight="1" s="8">
      <c r="A22" s="12" t="inlineStr">
        <is>
          <t>Лизинговые платежи</t>
        </is>
      </c>
      <c r="B22" s="12" t="inlineStr">
        <is>
          <t>ст.264 пп.10</t>
        </is>
      </c>
      <c r="C22" s="12" t="inlineStr">
        <is>
          <t>Без лимита (кроме выкупной стоимости)</t>
        </is>
      </c>
      <c r="D22" s="12" t="inlineStr">
        <is>
          <t>Договор лизинга, акт, счёт</t>
        </is>
      </c>
    </row>
    <row r="23" ht="28" customHeight="1" s="8">
      <c r="A23" s="13" t="inlineStr">
        <is>
          <t>ПО, лицензии, подписки на базы данных</t>
        </is>
      </c>
      <c r="B23" s="13" t="inlineStr">
        <is>
          <t>ст.264 пп.26</t>
        </is>
      </c>
      <c r="C23" s="13" t="inlineStr">
        <is>
          <t>Без лимита</t>
        </is>
      </c>
      <c r="D23" s="13" t="inlineStr">
        <is>
          <t>Лицензионный договор/акт передачи прав</t>
        </is>
      </c>
    </row>
    <row r="24" ht="28" customHeight="1" s="8">
      <c r="A24" s="12" t="inlineStr">
        <is>
          <t>Связь и интернет (деловое использование)</t>
        </is>
      </c>
      <c r="B24" s="12" t="inlineStr">
        <is>
          <t>ст.264 пп.25</t>
        </is>
      </c>
      <c r="C24" s="12" t="inlineStr">
        <is>
          <t>Без лимита</t>
        </is>
      </c>
      <c r="D24" s="12" t="inlineStr">
        <is>
          <t>Договор, счёт, акт</t>
        </is>
      </c>
    </row>
    <row r="25" ht="28" customHeight="1" s="8">
      <c r="A25" s="13" t="inlineStr">
        <is>
          <t>Юридические, аудиторские, консультационные услуги</t>
        </is>
      </c>
      <c r="B25" s="13" t="inlineStr">
        <is>
          <t>ст.264 пп.14–15</t>
        </is>
      </c>
      <c r="C25" s="13" t="inlineStr">
        <is>
          <t>Без лимита</t>
        </is>
      </c>
      <c r="D25" s="13" t="inlineStr">
        <is>
          <t>Договор + акт выполненных работ</t>
        </is>
      </c>
    </row>
    <row r="26" ht="28" customHeight="1" s="8">
      <c r="A26" s="12" t="inlineStr">
        <is>
          <t>Бухгалтерские услуги / аутсорсинг</t>
        </is>
      </c>
      <c r="B26" s="12" t="inlineStr">
        <is>
          <t>ст.264 пп.17</t>
        </is>
      </c>
      <c r="C26" s="12" t="inlineStr">
        <is>
          <t>Без лимита</t>
        </is>
      </c>
      <c r="D26" s="12" t="inlineStr">
        <is>
          <t>Договор, акт</t>
        </is>
      </c>
    </row>
    <row r="27" ht="28" customHeight="1" s="8">
      <c r="A27" s="13" t="inlineStr">
        <is>
          <t>Обучение и повышение квалификации персонала</t>
        </is>
      </c>
      <c r="B27" s="13" t="inlineStr">
        <is>
          <t>ст.264 пп.23</t>
        </is>
      </c>
      <c r="C27" s="13" t="inlineStr">
        <is>
          <t>Без лимита</t>
        </is>
      </c>
      <c r="D27" s="13" t="inlineStr">
        <is>
          <t>Договор с лицензированной орг., акт, удостоверение</t>
        </is>
      </c>
    </row>
    <row r="28" ht="28" customHeight="1" s="8">
      <c r="A28" s="12" t="inlineStr">
        <is>
          <t>Амортизация ОС стоимостью &gt;100 000 руб.</t>
        </is>
      </c>
      <c r="B28" s="12" t="inlineStr">
        <is>
          <t>ст.256–259, 346.16</t>
        </is>
      </c>
      <c r="C28" s="12" t="inlineStr">
        <is>
          <t>Равными долями в год ввода в эксплуатацию (УСН)</t>
        </is>
      </c>
      <c r="D28" s="12" t="inlineStr">
        <is>
          <t>Договор, УПД, акт ввода в эксплуатацию (ОС-1)</t>
        </is>
      </c>
    </row>
    <row r="29" ht="28" customHeight="1" s="8">
      <c r="A29" s="13" t="inlineStr">
        <is>
          <t>НМА: патенты, товарные знаки</t>
        </is>
      </c>
      <c r="B29" s="13" t="inlineStr">
        <is>
          <t>ст.257–258</t>
        </is>
      </c>
      <c r="C29" s="13" t="inlineStr">
        <is>
          <t>Через амортизацию</t>
        </is>
      </c>
      <c r="D29" s="13" t="inlineStr">
        <is>
          <t>Договор, акт, свидетельство о регистрации</t>
        </is>
      </c>
    </row>
    <row r="30" ht="28" customHeight="1" s="8">
      <c r="A30" s="12" t="inlineStr">
        <is>
          <t>Достройка, модернизация, реконструкция (НОВОЕ 2026)</t>
        </is>
      </c>
      <c r="B30" s="12" t="inlineStr">
        <is>
          <t>ст.346.16 пп.44</t>
        </is>
      </c>
      <c r="C30" s="12" t="inlineStr">
        <is>
          <t>Без лимита</t>
        </is>
      </c>
      <c r="D30" s="12" t="inlineStr">
        <is>
          <t>Акт выполненных работ, договор</t>
        </is>
      </c>
    </row>
    <row r="31" ht="28" customHeight="1" s="8">
      <c r="A31" s="13" t="inlineStr">
        <is>
          <t>Нотариальные расходы (в пределах тарифов)</t>
        </is>
      </c>
      <c r="B31" s="13" t="inlineStr">
        <is>
          <t>ст.264 пп.16</t>
        </is>
      </c>
      <c r="C31" s="13" t="inlineStr">
        <is>
          <t>В пределах нотариальных тарифов</t>
        </is>
      </c>
      <c r="D31" s="13" t="inlineStr">
        <is>
          <t>Квитанция нотариуса, акт</t>
        </is>
      </c>
    </row>
    <row r="32" ht="28" customHeight="1" s="8">
      <c r="A32" s="12" t="inlineStr">
        <is>
          <t>НИОКР (научные исследования и разработки)</t>
        </is>
      </c>
      <c r="B32" s="12" t="inlineStr">
        <is>
          <t>ст.262</t>
        </is>
      </c>
      <c r="C32" s="12" t="inlineStr">
        <is>
          <t>Без лимита (при выполнении условий)</t>
        </is>
      </c>
      <c r="D32" s="12" t="inlineStr">
        <is>
          <t>Договор, акты этапов, отчёт о выполнении</t>
        </is>
      </c>
    </row>
    <row r="33" ht="28" customHeight="1" s="8">
      <c r="A33" s="13" t="inlineStr">
        <is>
          <t>Потери в пределах норм естественной убыли</t>
        </is>
      </c>
      <c r="B33" s="13" t="inlineStr">
        <is>
          <t>ст.254 пп.2</t>
        </is>
      </c>
      <c r="C33" s="13" t="inlineStr">
        <is>
          <t>По отраслевым нормам</t>
        </is>
      </c>
      <c r="D33" s="13" t="inlineStr">
        <is>
          <t>Акт инвентаризации, акт о потерях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style="8" min="1" max="1"/>
    <col width="16" customWidth="1" style="8" min="2" max="2"/>
    <col width="40" customWidth="1" style="8" min="3" max="3"/>
  </cols>
  <sheetData>
    <row r="1" ht="28" customHeight="1" s="8">
      <c r="A1" s="9" t="inlineStr">
        <is>
          <t>ЗАПРЕЩЁННЫЕ РАСХОДЫ — нельзя учесть ни при каком режиме (ст.270 НК РФ)</t>
        </is>
      </c>
    </row>
    <row r="2" ht="20" customHeight="1" s="8">
      <c r="A2" s="10" t="inlineStr">
        <is>
          <t>Если налоговая найдёт эти расходы в учёте — доначислит налог + штраф 20% + пени</t>
        </is>
      </c>
    </row>
    <row r="3" ht="18" customHeight="1" s="8">
      <c r="A3" s="11" t="inlineStr">
        <is>
          <t>Запрещённый расход</t>
        </is>
      </c>
      <c r="B3" s="11" t="inlineStr">
        <is>
          <t>Статья 270 НК РФ</t>
        </is>
      </c>
      <c r="C3" s="11" t="inlineStr">
        <is>
          <t>Почему нельзя / что делать вместо</t>
        </is>
      </c>
    </row>
    <row r="4" ht="28" customHeight="1" s="8">
      <c r="A4" s="12" t="inlineStr">
        <is>
          <t>Дивиденды и распределение прибыли учредителям</t>
        </is>
      </c>
      <c r="B4" s="12" t="inlineStr">
        <is>
          <t>п.1</t>
        </is>
      </c>
      <c r="C4" s="12" t="inlineStr">
        <is>
          <t>Это изъятие прибыли после налогообложения, не расход</t>
        </is>
      </c>
    </row>
    <row r="5" ht="28" customHeight="1" s="8">
      <c r="A5" s="13" t="inlineStr">
        <is>
          <t>Штрафы, пени, санкции в бюджет и СФР</t>
        </is>
      </c>
      <c r="B5" s="13" t="inlineStr">
        <is>
          <t>п.2</t>
        </is>
      </c>
      <c r="C5" s="13" t="inlineStr">
        <is>
          <t>Наказание не снижает налоговую базу. Уплатил — потерял</t>
        </is>
      </c>
    </row>
    <row r="6" ht="28" customHeight="1" s="8">
      <c r="A6" s="12" t="inlineStr">
        <is>
          <t>Взносы в уставный капитал</t>
        </is>
      </c>
      <c r="B6" s="12" t="inlineStr">
        <is>
          <t>п.3</t>
        </is>
      </c>
      <c r="C6" s="12" t="inlineStr">
        <is>
          <t>Инвестиция, а не расход на деятельность</t>
        </is>
      </c>
    </row>
    <row r="7" ht="28" customHeight="1" s="8">
      <c r="A7" s="13" t="inlineStr">
        <is>
          <t>Стоимость безвозмездно переданного имущества</t>
        </is>
      </c>
      <c r="B7" s="13" t="inlineStr">
        <is>
          <t>п.16</t>
        </is>
      </c>
      <c r="C7" s="13" t="inlineStr">
        <is>
          <t>Подарок партнёру не является расходом</t>
        </is>
      </c>
    </row>
    <row r="8" ht="28" customHeight="1" s="8">
      <c r="A8" s="12" t="inlineStr">
        <is>
          <t>Материальная помощь сотрудникам (кроме при рождении ребёнка до 50 000 руб.)</t>
        </is>
      </c>
      <c r="B8" s="12" t="inlineStr">
        <is>
          <t>п.23</t>
        </is>
      </c>
      <c r="C8" s="12" t="inlineStr">
        <is>
          <t>Оформить как премию (с НДФЛ и взносами) или не принимать</t>
        </is>
      </c>
    </row>
    <row r="9" ht="28" customHeight="1" s="8">
      <c r="A9" s="13" t="inlineStr">
        <is>
          <t>Надбавки к пенсиям, единовременные пособия при выходе на пенсию</t>
        </is>
      </c>
      <c r="B9" s="13" t="inlineStr">
        <is>
          <t>п.25</t>
        </is>
      </c>
      <c r="C9" s="13" t="inlineStr">
        <is>
          <t>Не производственный расход</t>
        </is>
      </c>
    </row>
    <row r="10" ht="28" customHeight="1" s="8">
      <c r="A10" s="12" t="inlineStr">
        <is>
          <t>Оплата путёвок на отдых, санаторно-курортное лечение сотрудников</t>
        </is>
      </c>
      <c r="B10" s="12" t="inlineStr">
        <is>
          <t>п.29</t>
        </is>
      </c>
      <c r="C10" s="12" t="inlineStr">
        <is>
          <t>Личные расходы сотрудника</t>
        </is>
      </c>
    </row>
    <row r="11" ht="28" customHeight="1" s="8">
      <c r="A11" s="13" t="inlineStr">
        <is>
          <t>Личные расходы директора и учредителей (продукты, одежда, жильё, личный транспорт)</t>
        </is>
      </c>
      <c r="B11" s="13" t="inlineStr">
        <is>
          <t>ст.252</t>
        </is>
      </c>
      <c r="C11" s="13" t="inlineStr">
        <is>
          <t>Нет связи с деятельностью ООО</t>
        </is>
      </c>
    </row>
    <row r="12" ht="28" customHeight="1" s="8">
      <c r="A12" s="12" t="inlineStr">
        <is>
          <t>Уплата налогов: УСН, НДС (сам налог)</t>
        </is>
      </c>
      <c r="B12" s="12" t="inlineStr">
        <is>
          <t>п.4</t>
        </is>
      </c>
      <c r="C12" s="12" t="inlineStr">
        <is>
          <t>Уплата налога не является расходом для его расчёта</t>
        </is>
      </c>
    </row>
    <row r="13" ht="28" customHeight="1" s="8">
      <c r="A13" s="13" t="inlineStr">
        <is>
          <t>Проценты по займам сверх нормы (ст.269 НК РФ)</t>
        </is>
      </c>
      <c r="B13" s="13" t="inlineStr">
        <is>
          <t>п.8</t>
        </is>
      </c>
      <c r="C13" s="13" t="inlineStr">
        <is>
          <t>Только в пределах рыночной ставки ЦБ × коэффициент</t>
        </is>
      </c>
    </row>
    <row r="14" ht="28" customHeight="1" s="8">
      <c r="A14" s="12" t="inlineStr">
        <is>
          <t>Добровольное страхование сверх перечня ст.263 НК РФ</t>
        </is>
      </c>
      <c r="B14" s="12" t="inlineStr">
        <is>
          <t>п.6</t>
        </is>
      </c>
      <c r="C14" s="12" t="inlineStr">
        <is>
          <t>Принимаются только виды страхования из ст.263 НК РФ</t>
        </is>
      </c>
    </row>
    <row r="15" ht="28" customHeight="1" s="8">
      <c r="A15" s="13" t="inlineStr">
        <is>
          <t>Расходы на приобретение ОС &gt;100 000 руб. единовременно</t>
        </is>
      </c>
      <c r="B15" s="13" t="inlineStr">
        <is>
          <t>п.5</t>
        </is>
      </c>
      <c r="C15" s="13" t="inlineStr">
        <is>
          <t>Нельзя списать сразу — только через амортизацию</t>
        </is>
      </c>
    </row>
    <row r="16" ht="28" customHeight="1" s="8">
      <c r="A16" s="12" t="inlineStr">
        <is>
          <t>Вознаграждения руководству без трудового договора</t>
        </is>
      </c>
      <c r="B16" s="12" t="inlineStr">
        <is>
          <t>ст.252</t>
        </is>
      </c>
      <c r="C16" s="12" t="inlineStr">
        <is>
          <t>Без трудового договора нет обоснования расхода</t>
        </is>
      </c>
    </row>
    <row r="17" ht="28" customHeight="1" s="8">
      <c r="A17" s="13" t="inlineStr">
        <is>
          <t>Расходы, не связанные с получением дохода</t>
        </is>
      </c>
      <c r="B17" s="13" t="inlineStr">
        <is>
          <t>ст.252</t>
        </is>
      </c>
      <c r="C17" s="13" t="inlineStr">
        <is>
          <t>Любой расход должен быть направлен на получение дохода</t>
        </is>
      </c>
    </row>
    <row r="18" ht="28" customHeight="1" s="8">
      <c r="A18" s="12" t="inlineStr">
        <is>
          <t>Подарки партнёрам без документального оформления</t>
        </is>
      </c>
      <c r="B18" s="12" t="inlineStr">
        <is>
          <t>ст.252</t>
        </is>
      </c>
      <c r="C18" s="12" t="inlineStr">
        <is>
          <t>Без документов — не расход. С документами — возможно представительские</t>
        </is>
      </c>
    </row>
    <row r="19" ht="28" customHeight="1" s="8">
      <c r="A19" s="13" t="inlineStr">
        <is>
          <t>НДС к вычету, предъявленный поставщиком</t>
        </is>
      </c>
      <c r="B19" s="13" t="inlineStr">
        <is>
          <t>ст.252</t>
        </is>
      </c>
      <c r="C19" s="13" t="inlineStr">
        <is>
          <t>При УСН НДС включается в стоимость, отдельно не принимается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2026-05-03T13:51:17Z</dcterms:created>
  <dcterms:modified xmlns:dcterms="http://purl.org/dc/terms/" xmlns:xsi="http://www.w3.org/2001/XMLSchema-instance" xsi:type="dcterms:W3CDTF">2026-05-03T14:34:33Z</dcterms:modified>
  <cp:lastModifiedBy>Acer</cp:lastModifiedBy>
</cp:coreProperties>
</file>